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ily Working Folder\replit and react ap\d365fo\"/>
    </mc:Choice>
  </mc:AlternateContent>
  <xr:revisionPtr revIDLastSave="196" documentId="8_{CF12E41A-B200-4C2F-86A5-AFD8A8614597}" xr6:coauthVersionLast="47" xr6:coauthVersionMax="47" xr10:uidLastSave="{D04DB8C5-3622-4838-A775-3E97AD5A94A5}"/>
  <bookViews>
    <workbookView xWindow="-108" yWindow="-108" windowWidth="23256" windowHeight="12456" xr2:uid="{00000000-000D-0000-FFFF-FFFF0000000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1" l="1"/>
  <c r="V57" i="1" s="1"/>
  <c r="X57" i="1" s="1"/>
  <c r="Y57" i="1" s="1"/>
  <c r="T52" i="1"/>
  <c r="T53" i="1" s="1"/>
  <c r="T54" i="1" s="1"/>
  <c r="T55" i="1" s="1"/>
  <c r="T56" i="1" s="1"/>
  <c r="T51" i="1"/>
  <c r="T50" i="1"/>
  <c r="T49" i="1"/>
  <c r="L50" i="1"/>
  <c r="L51" i="1"/>
  <c r="L52" i="1"/>
  <c r="L53" i="1"/>
  <c r="L54" i="1"/>
  <c r="L55" i="1"/>
  <c r="L56" i="1"/>
  <c r="J50" i="1"/>
  <c r="J51" i="1"/>
  <c r="J52" i="1"/>
  <c r="J53" i="1"/>
  <c r="J54" i="1"/>
  <c r="J55" i="1"/>
  <c r="J56" i="1"/>
  <c r="I50" i="1"/>
  <c r="I51" i="1"/>
  <c r="I52" i="1"/>
  <c r="I53" i="1"/>
  <c r="I54" i="1"/>
  <c r="I55" i="1"/>
  <c r="I56" i="1"/>
  <c r="I49" i="1"/>
  <c r="J49" i="1"/>
  <c r="L49" i="1" s="1"/>
  <c r="J48" i="1"/>
  <c r="L48" i="1" s="1"/>
  <c r="V34" i="1"/>
  <c r="X34" i="1" s="1"/>
  <c r="Y34" i="1" s="1"/>
  <c r="V20" i="1"/>
  <c r="X20" i="1" s="1"/>
  <c r="Y20" i="1" s="1"/>
  <c r="V4" i="1"/>
  <c r="X4" i="1" s="1"/>
  <c r="Y4" i="1" s="1"/>
  <c r="T36" i="1"/>
  <c r="T37" i="1" s="1"/>
  <c r="V35" i="1"/>
  <c r="X35" i="1" s="1"/>
  <c r="Y35" i="1" s="1"/>
  <c r="V21" i="1"/>
  <c r="X21" i="1" s="1"/>
  <c r="Y21" i="1" s="1"/>
  <c r="T22" i="1"/>
  <c r="T23" i="1" s="1"/>
  <c r="V5" i="1"/>
  <c r="X5" i="1" s="1"/>
  <c r="Y5" i="1" s="1"/>
  <c r="T6" i="1"/>
  <c r="T7" i="1" s="1"/>
  <c r="T8" i="1" s="1"/>
  <c r="T9" i="1" s="1"/>
  <c r="T10" i="1" s="1"/>
  <c r="T11" i="1" s="1"/>
  <c r="T12" i="1" s="1"/>
  <c r="T13" i="1" s="1"/>
  <c r="T14" i="1" s="1"/>
  <c r="T15" i="1" s="1"/>
  <c r="V15" i="1" s="1"/>
  <c r="X15" i="1" s="1"/>
  <c r="Y15" i="1" s="1"/>
  <c r="I9" i="1"/>
  <c r="I8" i="1"/>
  <c r="I7" i="1"/>
  <c r="I6" i="1"/>
  <c r="I41" i="1"/>
  <c r="I42" i="1"/>
  <c r="I43" i="1"/>
  <c r="I44" i="1"/>
  <c r="I40" i="1"/>
  <c r="I39" i="1"/>
  <c r="I38" i="1"/>
  <c r="I37" i="1"/>
  <c r="I36" i="1"/>
  <c r="I35" i="1"/>
  <c r="J42" i="1"/>
  <c r="L42" i="1" s="1"/>
  <c r="J43" i="1"/>
  <c r="L43" i="1" s="1"/>
  <c r="J34" i="1"/>
  <c r="L34" i="1" s="1"/>
  <c r="J35" i="1"/>
  <c r="L35" i="1" s="1"/>
  <c r="J36" i="1"/>
  <c r="L36" i="1" s="1"/>
  <c r="J37" i="1"/>
  <c r="L37" i="1" s="1"/>
  <c r="J39" i="1"/>
  <c r="L39" i="1" s="1"/>
  <c r="J40" i="1"/>
  <c r="L40" i="1" s="1"/>
  <c r="J41" i="1"/>
  <c r="L41" i="1" s="1"/>
  <c r="J44" i="1"/>
  <c r="L44" i="1" s="1"/>
  <c r="J38" i="1"/>
  <c r="L38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0" i="1"/>
  <c r="L20" i="1" s="1"/>
  <c r="I21" i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6" i="1"/>
  <c r="L6" i="1" s="1"/>
  <c r="J5" i="1"/>
  <c r="L5" i="1" s="1"/>
  <c r="I22" i="1"/>
  <c r="I23" i="1"/>
  <c r="I24" i="1"/>
  <c r="I25" i="1"/>
  <c r="I26" i="1"/>
  <c r="I27" i="1"/>
  <c r="I10" i="1"/>
  <c r="I11" i="1"/>
  <c r="I12" i="1"/>
  <c r="I13" i="1"/>
  <c r="I14" i="1"/>
  <c r="I15" i="1"/>
  <c r="I5" i="1"/>
  <c r="T58" i="1" l="1"/>
  <c r="V50" i="1"/>
  <c r="X50" i="1" s="1"/>
  <c r="Y50" i="1" s="1"/>
  <c r="V52" i="1"/>
  <c r="X52" i="1" s="1"/>
  <c r="Y52" i="1" s="1"/>
  <c r="V49" i="1"/>
  <c r="X49" i="1" s="1"/>
  <c r="Y49" i="1" s="1"/>
  <c r="V48" i="1"/>
  <c r="X48" i="1" s="1"/>
  <c r="Y48" i="1" s="1"/>
  <c r="T16" i="1"/>
  <c r="T17" i="1" s="1"/>
  <c r="V17" i="1" s="1"/>
  <c r="X17" i="1" s="1"/>
  <c r="Y17" i="1" s="1"/>
  <c r="V22" i="1"/>
  <c r="X22" i="1" s="1"/>
  <c r="Y22" i="1" s="1"/>
  <c r="V10" i="1"/>
  <c r="X10" i="1" s="1"/>
  <c r="Y10" i="1" s="1"/>
  <c r="V9" i="1"/>
  <c r="X9" i="1" s="1"/>
  <c r="Y9" i="1" s="1"/>
  <c r="V11" i="1"/>
  <c r="X11" i="1" s="1"/>
  <c r="Y11" i="1" s="1"/>
  <c r="V6" i="1"/>
  <c r="X6" i="1" s="1"/>
  <c r="Y6" i="1" s="1"/>
  <c r="V8" i="1"/>
  <c r="X8" i="1" s="1"/>
  <c r="Y8" i="1" s="1"/>
  <c r="V7" i="1"/>
  <c r="X7" i="1" s="1"/>
  <c r="Y7" i="1" s="1"/>
  <c r="V14" i="1"/>
  <c r="X14" i="1" s="1"/>
  <c r="Y14" i="1" s="1"/>
  <c r="V13" i="1"/>
  <c r="X13" i="1" s="1"/>
  <c r="Y13" i="1" s="1"/>
  <c r="V12" i="1"/>
  <c r="X12" i="1" s="1"/>
  <c r="Y12" i="1" s="1"/>
  <c r="T38" i="1"/>
  <c r="V37" i="1"/>
  <c r="X37" i="1" s="1"/>
  <c r="Y37" i="1" s="1"/>
  <c r="V36" i="1"/>
  <c r="X36" i="1" s="1"/>
  <c r="Y36" i="1" s="1"/>
  <c r="T24" i="1"/>
  <c r="V23" i="1"/>
  <c r="X23" i="1" s="1"/>
  <c r="Y23" i="1" s="1"/>
  <c r="T59" i="1" l="1"/>
  <c r="V58" i="1"/>
  <c r="X58" i="1" s="1"/>
  <c r="Y58" i="1" s="1"/>
  <c r="V51" i="1"/>
  <c r="X51" i="1" s="1"/>
  <c r="Y51" i="1" s="1"/>
  <c r="V53" i="1"/>
  <c r="X53" i="1" s="1"/>
  <c r="Y53" i="1" s="1"/>
  <c r="V16" i="1"/>
  <c r="X16" i="1" s="1"/>
  <c r="Y16" i="1" s="1"/>
  <c r="V38" i="1"/>
  <c r="X38" i="1" s="1"/>
  <c r="Y38" i="1" s="1"/>
  <c r="T39" i="1"/>
  <c r="V24" i="1"/>
  <c r="X24" i="1" s="1"/>
  <c r="Y24" i="1" s="1"/>
  <c r="T25" i="1"/>
  <c r="V59" i="1" l="1"/>
  <c r="X59" i="1" s="1"/>
  <c r="Y59" i="1" s="1"/>
  <c r="T60" i="1"/>
  <c r="V54" i="1"/>
  <c r="X54" i="1" s="1"/>
  <c r="Y54" i="1" s="1"/>
  <c r="T40" i="1"/>
  <c r="V39" i="1"/>
  <c r="X39" i="1" s="1"/>
  <c r="Y39" i="1" s="1"/>
  <c r="V25" i="1"/>
  <c r="X25" i="1" s="1"/>
  <c r="Y25" i="1" s="1"/>
  <c r="T26" i="1"/>
  <c r="T61" i="1" l="1"/>
  <c r="V61" i="1" s="1"/>
  <c r="X61" i="1" s="1"/>
  <c r="Y61" i="1" s="1"/>
  <c r="V60" i="1"/>
  <c r="X60" i="1" s="1"/>
  <c r="Y60" i="1" s="1"/>
  <c r="V56" i="1"/>
  <c r="X56" i="1" s="1"/>
  <c r="Y56" i="1" s="1"/>
  <c r="V55" i="1"/>
  <c r="X55" i="1" s="1"/>
  <c r="Y55" i="1" s="1"/>
  <c r="T41" i="1"/>
  <c r="V40" i="1"/>
  <c r="X40" i="1" s="1"/>
  <c r="Y40" i="1" s="1"/>
  <c r="V26" i="1"/>
  <c r="X26" i="1" s="1"/>
  <c r="Y26" i="1" s="1"/>
  <c r="T27" i="1"/>
  <c r="V27" i="1" l="1"/>
  <c r="X27" i="1" s="1"/>
  <c r="Y27" i="1" s="1"/>
  <c r="T28" i="1"/>
  <c r="V41" i="1"/>
  <c r="X41" i="1" s="1"/>
  <c r="Y41" i="1" s="1"/>
  <c r="T42" i="1"/>
  <c r="V28" i="1" l="1"/>
  <c r="X28" i="1" s="1"/>
  <c r="Y28" i="1" s="1"/>
  <c r="T29" i="1"/>
  <c r="V42" i="1"/>
  <c r="X42" i="1" s="1"/>
  <c r="Y42" i="1" s="1"/>
  <c r="T43" i="1"/>
  <c r="V29" i="1" l="1"/>
  <c r="X29" i="1" s="1"/>
  <c r="Y29" i="1" s="1"/>
  <c r="T30" i="1"/>
  <c r="T44" i="1"/>
  <c r="V43" i="1"/>
  <c r="X43" i="1" s="1"/>
  <c r="Y43" i="1" s="1"/>
  <c r="T31" i="1" l="1"/>
  <c r="V31" i="1" s="1"/>
  <c r="X31" i="1" s="1"/>
  <c r="Y31" i="1" s="1"/>
  <c r="V30" i="1"/>
  <c r="X30" i="1" s="1"/>
  <c r="Y30" i="1" s="1"/>
  <c r="V44" i="1"/>
  <c r="X44" i="1" s="1"/>
  <c r="Y44" i="1" s="1"/>
</calcChain>
</file>

<file path=xl/sharedStrings.xml><?xml version="1.0" encoding="utf-8"?>
<sst xmlns="http://schemas.openxmlformats.org/spreadsheetml/2006/main" count="351" uniqueCount="171">
  <si>
    <t>Resource</t>
  </si>
  <si>
    <t>SALESORDERNUMBER</t>
  </si>
  <si>
    <t>SALESORDERNAME</t>
  </si>
  <si>
    <t>ITEMNUMBER</t>
  </si>
  <si>
    <t>SC3</t>
  </si>
  <si>
    <t>364091/Calib/Cal_GEN/ Started/1</t>
  </si>
  <si>
    <t>594519</t>
  </si>
  <si>
    <t>ACEROS CAMESA SA DE CV</t>
  </si>
  <si>
    <t>09002610</t>
  </si>
  <si>
    <t>600SL</t>
  </si>
  <si>
    <t>364696/Paint/Paint/ Started/1</t>
  </si>
  <si>
    <t>595503</t>
  </si>
  <si>
    <t>Gerdau Metaldom S.A.</t>
  </si>
  <si>
    <t>09010610</t>
  </si>
  <si>
    <t>2000SL</t>
  </si>
  <si>
    <t>09001330</t>
  </si>
  <si>
    <t>300SL</t>
  </si>
  <si>
    <t>366448/W/H-End// Started/1</t>
  </si>
  <si>
    <t>701276</t>
  </si>
  <si>
    <t>Fairbanks Morse Defense</t>
  </si>
  <si>
    <t>09001300</t>
  </si>
  <si>
    <t>365072/Assembly/Assy03/ Started/1</t>
  </si>
  <si>
    <t>596324</t>
  </si>
  <si>
    <t>CORINCA CORP IND CENTROAMERICANA</t>
  </si>
  <si>
    <t>09010600</t>
  </si>
  <si>
    <t>364222/Assembly/Assy02/ Started/1</t>
  </si>
  <si>
    <t>594743</t>
  </si>
  <si>
    <t>Friedman Industries, Inc.</t>
  </si>
  <si>
    <t>09002600</t>
  </si>
  <si>
    <t>364732/W/H-Hold/Assy06/ Started/1</t>
  </si>
  <si>
    <t>595518</t>
  </si>
  <si>
    <t>Mid-West Mfg. LLC</t>
  </si>
  <si>
    <t>09010630</t>
  </si>
  <si>
    <t>366127/Assembly/Assy07/ Started/1</t>
  </si>
  <si>
    <t>700470</t>
  </si>
  <si>
    <t>Element</t>
  </si>
  <si>
    <t>366204/W/H-Start/GenElec/ Released/1</t>
  </si>
  <si>
    <t>700525</t>
  </si>
  <si>
    <t>Nucor Towers and Structures</t>
  </si>
  <si>
    <t>364461/Assembly/Assy10/ Started/1</t>
  </si>
  <si>
    <t>595132</t>
  </si>
  <si>
    <t>Taylor Forge</t>
  </si>
  <si>
    <t>365274/W/H-Start/GenAssy/ Released/1</t>
  </si>
  <si>
    <t>596256</t>
  </si>
  <si>
    <t>GERDAU AMERISTEEL WHITBY</t>
  </si>
  <si>
    <t>364885/W/H-Start/GenAssy/ Released/1</t>
  </si>
  <si>
    <t>593042</t>
  </si>
  <si>
    <t>DFAS ROCK ISLAND - HQ0303</t>
  </si>
  <si>
    <t>365341/W/H-Start/GenAssy/ Released/1</t>
  </si>
  <si>
    <t>596498</t>
  </si>
  <si>
    <t>ACUREN</t>
  </si>
  <si>
    <t>09009410</t>
  </si>
  <si>
    <t>1000SL</t>
  </si>
  <si>
    <t>365450/W/H-Start/GenAssy/ Released/1</t>
  </si>
  <si>
    <t>596952</t>
  </si>
  <si>
    <t>Tinius Olsen Testing Machine Shanghai Co Ltd</t>
  </si>
  <si>
    <t>09002620</t>
  </si>
  <si>
    <t>364886/W/H-Start/GenAssy/ Released/1</t>
  </si>
  <si>
    <t>365267/W/H-Start/GenAssy/ Released/1</t>
  </si>
  <si>
    <t>596655</t>
  </si>
  <si>
    <t>KTH Parts Industries Inc.</t>
  </si>
  <si>
    <t>365449/W/H-Start/GenAssy/ Released/1</t>
  </si>
  <si>
    <t>596798</t>
  </si>
  <si>
    <t>PowerCept Middle East Mechanical &amp; Engineering Equipment Trading LLC</t>
  </si>
  <si>
    <t>366208/W/H-Start/GenElec/ Released/1</t>
  </si>
  <si>
    <t>700527</t>
  </si>
  <si>
    <t>366476/W/H-Start/GenAssy/ Released/1</t>
  </si>
  <si>
    <t>701140</t>
  </si>
  <si>
    <t>Jubail Energy Services Company</t>
  </si>
  <si>
    <t>366113/W/H-Start/GenAssy/ Released/1</t>
  </si>
  <si>
    <t>700241</t>
  </si>
  <si>
    <t>Jennmar Corporation</t>
  </si>
  <si>
    <t>366129/Electrical/GenElec/ Started/1</t>
  </si>
  <si>
    <t>700471</t>
  </si>
  <si>
    <t>365365/W/H-Start/GenAssy/ Released/1</t>
  </si>
  <si>
    <t>596759</t>
  </si>
  <si>
    <t>Pacific Steel Group</t>
  </si>
  <si>
    <t>366477/W/H-Start/GenAssy/ Released/1</t>
  </si>
  <si>
    <t>365843/W/H-Start/GenAssy/ Released/1</t>
  </si>
  <si>
    <t>596793</t>
  </si>
  <si>
    <t>Salah &amp; Musaad M. Al-Bassam Petroleum Equipment Company</t>
  </si>
  <si>
    <t>09001310</t>
  </si>
  <si>
    <t>365908/W/H-Start/GenAssy/ Released/1</t>
  </si>
  <si>
    <t>596794</t>
  </si>
  <si>
    <t>365846/W/H-Start/GenAssy/ Released/1</t>
  </si>
  <si>
    <t>366112/W/H-Start/GenAssy/ Released/1</t>
  </si>
  <si>
    <t>700233</t>
  </si>
  <si>
    <t>Flash Steelworks</t>
  </si>
  <si>
    <t>365903/W/H-Start/GenAssy/ Released/1</t>
  </si>
  <si>
    <t>596725</t>
  </si>
  <si>
    <t>366541/W/H-Start/GenAssy/ Released/1</t>
  </si>
  <si>
    <t>701595</t>
  </si>
  <si>
    <t>CEMEX</t>
  </si>
  <si>
    <t>09001320</t>
  </si>
  <si>
    <t>366212/W/H-Start/GenElec/ Released/1</t>
  </si>
  <si>
    <t>700529</t>
  </si>
  <si>
    <t>Nucor Steel Company</t>
  </si>
  <si>
    <t>366045/W/H-Start/GenAssy/ Released/1</t>
  </si>
  <si>
    <t>599466</t>
  </si>
  <si>
    <t>Jennmar Corporation of VA, Inc.</t>
  </si>
  <si>
    <t>365168/W/H-Start/W/H-Start/ Released/1</t>
  </si>
  <si>
    <t>596507</t>
  </si>
  <si>
    <t>ORDER</t>
  </si>
  <si>
    <t>RESOURCE GROUP</t>
  </si>
  <si>
    <t>STATUS</t>
  </si>
  <si>
    <t>FA-300SL</t>
  </si>
  <si>
    <t>STARTED</t>
  </si>
  <si>
    <t>FA-600SL</t>
  </si>
  <si>
    <t>START CADENCE</t>
  </si>
  <si>
    <t>ASSY07</t>
  </si>
  <si>
    <t>ASSY/CAL/COMPLETE DAYS</t>
  </si>
  <si>
    <t>ASSY START DATE (+5 WK Days)</t>
  </si>
  <si>
    <t>PAINT</t>
  </si>
  <si>
    <t>ASSY03</t>
  </si>
  <si>
    <t>ASSY06</t>
  </si>
  <si>
    <t>ASSY10</t>
  </si>
  <si>
    <t>ASSY02</t>
  </si>
  <si>
    <t>PRODUCTION
Start Date</t>
  </si>
  <si>
    <t>PRODUCTION ORDER DELIVERY DATE</t>
  </si>
  <si>
    <t>FA-2-2000SL</t>
  </si>
  <si>
    <t>PRODUCTION START</t>
  </si>
  <si>
    <t>ASSY START</t>
  </si>
  <si>
    <t>ASSY END</t>
  </si>
  <si>
    <t>ALLOCATED RESOURCE</t>
  </si>
  <si>
    <t>ALLOCATED 
PROD ORDER</t>
  </si>
  <si>
    <t>Pick</t>
  </si>
  <si>
    <t>Assy</t>
  </si>
  <si>
    <t>CAL</t>
  </si>
  <si>
    <t>MATERIAL KPI</t>
  </si>
  <si>
    <t>DELIVERY KPI</t>
  </si>
  <si>
    <t>LATE</t>
  </si>
  <si>
    <t>W/H_END</t>
  </si>
  <si>
    <t>ON TIME</t>
  </si>
  <si>
    <t>Released</t>
  </si>
  <si>
    <t>CAL_GEN</t>
  </si>
  <si>
    <t>SHIP DATE</t>
  </si>
  <si>
    <t>POWERBI DATA - LEGACY</t>
  </si>
  <si>
    <t>NEW  - BOOKING/SCHEDULE</t>
  </si>
  <si>
    <t>Flow Time (Working Days)</t>
  </si>
  <si>
    <t>Continuity %</t>
  </si>
  <si>
    <t>Active Posting Days ÷ Flow Time</t>
  </si>
  <si>
    <t>= NETWORKDAYS(First Posting, Last Posting)</t>
  </si>
  <si>
    <t>Active Days</t>
  </si>
  <si>
    <t>Posted days</t>
  </si>
  <si>
    <t>12004060</t>
  </si>
  <si>
    <t>12004053</t>
  </si>
  <si>
    <t>12004051</t>
  </si>
  <si>
    <t>12004062</t>
  </si>
  <si>
    <t>Nucor Steel - Hertford</t>
  </si>
  <si>
    <t>Steel Warehouse</t>
  </si>
  <si>
    <t>North Star BlueScope Steel</t>
  </si>
  <si>
    <t>596177</t>
  </si>
  <si>
    <t>596576</t>
  </si>
  <si>
    <t>700524</t>
  </si>
  <si>
    <t>700526</t>
  </si>
  <si>
    <t>596795</t>
  </si>
  <si>
    <t>700528</t>
  </si>
  <si>
    <t>701859</t>
  </si>
  <si>
    <t>364994/Calib/Cal_GEN/ Started/1</t>
  </si>
  <si>
    <t>365179/Paint/Paint/ Started/1</t>
  </si>
  <si>
    <t>366203/Assembly/Assy04/ Started/1</t>
  </si>
  <si>
    <t>365451/W/H-Start/GenAssy/ Released/1</t>
  </si>
  <si>
    <t>366207/W/H-Start/GenAssy/ Released/1</t>
  </si>
  <si>
    <t>366479/W/H-Start/GenAssy/ Released/1</t>
  </si>
  <si>
    <t>365854/W/H-Start/GenAssy/ Released/1</t>
  </si>
  <si>
    <t>365855/W/H-Start/GenAssy/ Released/1</t>
  </si>
  <si>
    <t>366211/W/H-Start/GenAssy/ Released/1</t>
  </si>
  <si>
    <t>366715/W/H-Start/GenAssy/ Created/1</t>
  </si>
  <si>
    <t>IT542</t>
  </si>
  <si>
    <t>IT406</t>
  </si>
  <si>
    <t>FA-MTLImps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</si>
</sst>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ddd\,\ dd\-mmm\-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ptos"/>
      <family val="2"/>
    </font>
    <font>
      <b/>
      <sz val="16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ck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43" fontId="5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9" fillId="0" borderId="0" xfId="3" applyFont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/>
    <xf numFmtId="0" fontId="4" fillId="5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/>
    <xf numFmtId="165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9" fontId="5" fillId="0" borderId="0" xfId="4" applyFont="1"/>
    <xf numFmtId="0" fontId="5" fillId="0" borderId="0" xfId="0" quotePrefix="1" applyFont="1" applyAlignment="1">
      <alignment wrapText="1"/>
    </xf>
    <xf numFmtId="0" fontId="0" fillId="0" borderId="0" xfId="0" quotePrefix="1"/>
    <xf numFmtId="0" fontId="11" fillId="6" borderId="0" xfId="0" applyFont="1" applyFill="1"/>
    <xf numFmtId="0" fontId="11" fillId="6" borderId="0" xfId="0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3" xr:uid="{F84F1CDB-E221-4712-A140-A665BE74AF56}"/>
    <cellStyle name="Normal 3" xfId="2" xr:uid="{E0DE6B54-BE9D-4C5C-B15B-90F535B9FD9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1"/>
  <sheetViews>
    <sheetView tabSelected="1" topLeftCell="F1" zoomScale="70" zoomScaleNormal="70" workbookViewId="0">
      <pane ySplit="2" topLeftCell="A3" activePane="bottomLeft" state="frozen"/>
      <selection pane="bottomLeft" activeCell="AB9" sqref="AB9"/>
    </sheetView>
  </sheetViews>
  <sheetFormatPr defaultColWidth="8.85546875" defaultRowHeight="15" x14ac:dyDescent="0.25"/>
  <cols>
    <col min="1" max="1" width="13.85546875" style="3" customWidth="1"/>
    <col min="2" max="2" width="39.140625" style="3" customWidth="1"/>
    <col min="3" max="3" width="11.140625" style="3" customWidth="1"/>
    <col min="4" max="4" width="31.85546875" style="3" customWidth="1"/>
    <col min="5" max="5" width="14.5703125" style="5" customWidth="1"/>
    <col min="6" max="7" width="10.85546875" style="5" customWidth="1"/>
    <col min="8" max="8" width="19" style="5" customWidth="1"/>
    <col min="9" max="9" width="13" style="5" customWidth="1"/>
    <col min="10" max="10" width="18.140625" style="5" customWidth="1"/>
    <col min="11" max="11" width="19.140625" style="5" customWidth="1"/>
    <col min="12" max="12" width="15.7109375" style="5" customWidth="1"/>
    <col min="13" max="13" width="8.140625" style="5" customWidth="1"/>
    <col min="14" max="14" width="2.140625" style="3" customWidth="1"/>
    <col min="15" max="16" width="5.140625" style="17" customWidth="1"/>
    <col min="17" max="17" width="13.85546875" style="5" customWidth="1"/>
    <col min="18" max="19" width="17" style="3" customWidth="1"/>
    <col min="20" max="20" width="18.140625" style="3" customWidth="1"/>
    <col min="21" max="21" width="7" style="3" customWidth="1"/>
    <col min="22" max="22" width="18.7109375" style="3" customWidth="1"/>
    <col min="23" max="23" width="7" style="3" customWidth="1"/>
    <col min="24" max="25" width="17.7109375" style="3" customWidth="1"/>
    <col min="26" max="27" width="5.140625" style="17" customWidth="1"/>
    <col min="28" max="28" width="12.5703125" style="5" customWidth="1"/>
    <col min="29" max="29" width="11.140625" style="5" customWidth="1"/>
    <col min="30" max="30" width="40.140625" style="3" customWidth="1"/>
    <col min="31" max="31" width="19.85546875" style="3" customWidth="1"/>
    <col min="32" max="32" width="29.140625" style="3" customWidth="1"/>
    <col min="33" max="16384" width="8.85546875" style="3"/>
  </cols>
  <sheetData>
    <row r="1" spans="1:33" s="17" customFormat="1" ht="21" x14ac:dyDescent="0.35">
      <c r="A1" s="25"/>
      <c r="B1" s="33" t="s">
        <v>136</v>
      </c>
      <c r="C1" s="33"/>
      <c r="D1" s="33"/>
      <c r="E1" s="33"/>
      <c r="F1" s="33"/>
      <c r="G1" s="33"/>
      <c r="H1" s="33"/>
      <c r="I1" s="26"/>
      <c r="J1" s="26"/>
      <c r="K1" s="26"/>
      <c r="L1" s="26"/>
      <c r="M1" s="26"/>
      <c r="Q1" s="33" t="s">
        <v>137</v>
      </c>
      <c r="R1" s="33"/>
      <c r="S1" s="33"/>
      <c r="T1" s="33"/>
      <c r="U1" s="33"/>
      <c r="V1" s="33"/>
      <c r="W1" s="33"/>
      <c r="X1" s="33"/>
      <c r="Y1" s="33"/>
      <c r="AB1" s="32"/>
      <c r="AC1" s="32"/>
      <c r="AD1" s="25"/>
      <c r="AE1" s="25"/>
      <c r="AF1" s="2"/>
    </row>
    <row r="2" spans="1:33" s="1" customFormat="1" ht="45" x14ac:dyDescent="0.25">
      <c r="A2" s="2" t="s">
        <v>103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102</v>
      </c>
      <c r="G2" s="2" t="s">
        <v>104</v>
      </c>
      <c r="H2" s="2" t="s">
        <v>117</v>
      </c>
      <c r="I2" s="2" t="s">
        <v>108</v>
      </c>
      <c r="J2" s="2" t="s">
        <v>111</v>
      </c>
      <c r="K2" s="2" t="s">
        <v>118</v>
      </c>
      <c r="L2" s="2" t="s">
        <v>110</v>
      </c>
      <c r="M2" s="2" t="s">
        <v>4</v>
      </c>
      <c r="N2" s="17"/>
      <c r="O2" s="19"/>
      <c r="P2" s="16"/>
      <c r="Q2" s="2" t="s">
        <v>123</v>
      </c>
      <c r="R2" s="2" t="s">
        <v>124</v>
      </c>
      <c r="S2" s="2" t="s">
        <v>104</v>
      </c>
      <c r="T2" s="2" t="s">
        <v>120</v>
      </c>
      <c r="U2" s="2" t="s">
        <v>125</v>
      </c>
      <c r="V2" s="2" t="s">
        <v>121</v>
      </c>
      <c r="W2" s="2" t="s">
        <v>126</v>
      </c>
      <c r="X2" s="2" t="s">
        <v>122</v>
      </c>
      <c r="Y2" s="2" t="s">
        <v>135</v>
      </c>
      <c r="Z2" s="19"/>
      <c r="AA2" s="16"/>
      <c r="AB2" s="2" t="s">
        <v>128</v>
      </c>
      <c r="AC2" s="2" t="s">
        <v>129</v>
      </c>
      <c r="AD2" s="2" t="s">
        <v>138</v>
      </c>
      <c r="AE2" s="2" t="s">
        <v>142</v>
      </c>
      <c r="AF2" s="2" t="s">
        <v>139</v>
      </c>
    </row>
    <row r="3" spans="1:33" s="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7"/>
      <c r="O3" s="19"/>
      <c r="P3" s="16"/>
      <c r="Q3" s="2"/>
      <c r="R3" s="2"/>
      <c r="S3" s="2"/>
      <c r="T3" s="2"/>
      <c r="U3" s="2"/>
      <c r="V3" s="2"/>
      <c r="W3" s="2"/>
      <c r="X3" s="2"/>
      <c r="Y3" s="2"/>
      <c r="Z3" s="19"/>
      <c r="AA3" s="16"/>
      <c r="AB3" s="2"/>
      <c r="AC3" s="2"/>
      <c r="AD3" s="2"/>
      <c r="AE3" s="2"/>
      <c r="AF3" s="2"/>
    </row>
    <row r="4" spans="1:33" ht="30" x14ac:dyDescent="0.25">
      <c r="A4" s="15" t="s">
        <v>105</v>
      </c>
      <c r="B4" s="3" t="s">
        <v>17</v>
      </c>
      <c r="C4" s="3" t="s">
        <v>18</v>
      </c>
      <c r="D4" s="3" t="s">
        <v>19</v>
      </c>
      <c r="E4" s="5" t="s">
        <v>20</v>
      </c>
      <c r="F4" s="5">
        <v>366448</v>
      </c>
      <c r="G4" s="14" t="s">
        <v>106</v>
      </c>
      <c r="H4" s="6">
        <v>46171</v>
      </c>
      <c r="I4" s="8"/>
      <c r="J4" s="8"/>
      <c r="K4" s="13">
        <v>46189</v>
      </c>
      <c r="L4" s="8"/>
      <c r="M4" s="9" t="s">
        <v>16</v>
      </c>
      <c r="N4" s="17"/>
      <c r="O4" s="20"/>
      <c r="Q4" s="14" t="s">
        <v>131</v>
      </c>
      <c r="R4" s="14">
        <v>366448</v>
      </c>
      <c r="S4" s="28" t="s">
        <v>106</v>
      </c>
      <c r="T4" s="23">
        <v>46171</v>
      </c>
      <c r="U4" s="22">
        <v>2</v>
      </c>
      <c r="V4" s="21">
        <f>WORKDAY(T4,U4)</f>
        <v>46175</v>
      </c>
      <c r="W4" s="22">
        <v>10</v>
      </c>
      <c r="X4" s="23">
        <f>WORKDAY(V4,W4)</f>
        <v>46189</v>
      </c>
      <c r="Y4" s="23">
        <f>WORKDAY(X4,10)</f>
        <v>46203</v>
      </c>
      <c r="Z4" s="20"/>
      <c r="AB4" s="22" t="s">
        <v>132</v>
      </c>
      <c r="AC4" s="22"/>
      <c r="AD4" s="31" t="s">
        <v>141</v>
      </c>
      <c r="AE4" s="31" t="s">
        <v>143</v>
      </c>
      <c r="AF4" s="30" t="s">
        <v>140</v>
      </c>
      <c r="AG4" s="29"/>
    </row>
    <row r="5" spans="1:33" x14ac:dyDescent="0.25">
      <c r="A5" s="15" t="s">
        <v>105</v>
      </c>
      <c r="B5" s="3" t="s">
        <v>33</v>
      </c>
      <c r="C5" s="3" t="s">
        <v>34</v>
      </c>
      <c r="D5" s="3" t="s">
        <v>35</v>
      </c>
      <c r="E5" s="5" t="s">
        <v>20</v>
      </c>
      <c r="F5" s="5">
        <v>366127</v>
      </c>
      <c r="G5" s="14" t="s">
        <v>106</v>
      </c>
      <c r="H5" s="6">
        <v>46183</v>
      </c>
      <c r="I5" s="12">
        <f t="shared" ref="I5:I15" si="0">NETWORKDAYS($H4,H5)</f>
        <v>9</v>
      </c>
      <c r="J5" s="6">
        <f>WORKDAY(H5,5)</f>
        <v>46190</v>
      </c>
      <c r="K5" s="8">
        <v>46205</v>
      </c>
      <c r="L5" s="12">
        <f>NETWORKDAYS(J5,K5)</f>
        <v>12</v>
      </c>
      <c r="M5" s="9" t="s">
        <v>16</v>
      </c>
      <c r="N5" s="17"/>
      <c r="O5" s="20"/>
      <c r="Q5" s="14" t="s">
        <v>134</v>
      </c>
      <c r="R5" s="14">
        <v>366127</v>
      </c>
      <c r="S5" s="14" t="s">
        <v>106</v>
      </c>
      <c r="T5" s="23">
        <v>46183</v>
      </c>
      <c r="U5" s="22">
        <v>5</v>
      </c>
      <c r="V5" s="21">
        <f>WORKDAY(T5,U5)</f>
        <v>46190</v>
      </c>
      <c r="W5" s="22">
        <v>15</v>
      </c>
      <c r="X5" s="23">
        <f>WORKDAY(V5,W5)</f>
        <v>46211</v>
      </c>
      <c r="Y5" s="23">
        <f t="shared" ref="Y5:Y17" si="1">WORKDAY(X5,10)</f>
        <v>46225</v>
      </c>
      <c r="Z5" s="20"/>
      <c r="AB5" s="22" t="s">
        <v>130</v>
      </c>
      <c r="AC5" s="22"/>
    </row>
    <row r="6" spans="1:33" x14ac:dyDescent="0.25">
      <c r="A6" s="15" t="s">
        <v>105</v>
      </c>
      <c r="B6" s="3" t="s">
        <v>36</v>
      </c>
      <c r="C6" s="3" t="s">
        <v>37</v>
      </c>
      <c r="D6" s="3" t="s">
        <v>38</v>
      </c>
      <c r="E6" s="5" t="s">
        <v>20</v>
      </c>
      <c r="F6" s="5">
        <v>366204</v>
      </c>
      <c r="G6" s="14" t="s">
        <v>106</v>
      </c>
      <c r="H6" s="6">
        <v>46190</v>
      </c>
      <c r="I6" s="12">
        <f t="shared" si="0"/>
        <v>6</v>
      </c>
      <c r="J6" s="6">
        <f>WORKDAY(H6,5)</f>
        <v>46197</v>
      </c>
      <c r="K6" s="8">
        <v>46227</v>
      </c>
      <c r="L6" s="12">
        <f t="shared" ref="L6:L15" si="2">NETWORKDAYS(J6,K6)</f>
        <v>23</v>
      </c>
      <c r="M6" s="9" t="s">
        <v>16</v>
      </c>
      <c r="N6" s="17"/>
      <c r="O6" s="20"/>
      <c r="Q6" s="14" t="s">
        <v>109</v>
      </c>
      <c r="R6" s="14">
        <v>366204</v>
      </c>
      <c r="S6" s="14" t="s">
        <v>106</v>
      </c>
      <c r="T6" s="27">
        <f>WORKDAY(T5,10)</f>
        <v>46197</v>
      </c>
      <c r="U6" s="5">
        <v>5</v>
      </c>
      <c r="V6" s="6">
        <f t="shared" ref="V6:V15" si="3">WORKDAY(T6,U6)</f>
        <v>46204</v>
      </c>
      <c r="W6" s="5">
        <v>15</v>
      </c>
      <c r="X6" s="6">
        <f t="shared" ref="X6:X15" si="4">WORKDAY(V6,W6)</f>
        <v>46225</v>
      </c>
      <c r="Y6" s="23">
        <f t="shared" si="1"/>
        <v>46239</v>
      </c>
      <c r="Z6" s="20"/>
    </row>
    <row r="7" spans="1:33" x14ac:dyDescent="0.25">
      <c r="A7" s="15" t="s">
        <v>105</v>
      </c>
      <c r="B7" s="3" t="s">
        <v>45</v>
      </c>
      <c r="C7" s="3" t="s">
        <v>46</v>
      </c>
      <c r="D7" s="3" t="s">
        <v>47</v>
      </c>
      <c r="E7" s="5" t="s">
        <v>15</v>
      </c>
      <c r="F7" s="5">
        <v>364885</v>
      </c>
      <c r="H7" s="6">
        <v>46212</v>
      </c>
      <c r="I7" s="12">
        <f t="shared" si="0"/>
        <v>17</v>
      </c>
      <c r="J7" s="6">
        <f t="shared" ref="J7:J15" si="5">WORKDAY(H7,5)</f>
        <v>46219</v>
      </c>
      <c r="K7" s="8">
        <v>46247</v>
      </c>
      <c r="L7" s="12">
        <f t="shared" si="2"/>
        <v>21</v>
      </c>
      <c r="M7" s="9" t="s">
        <v>16</v>
      </c>
      <c r="N7" s="17"/>
      <c r="O7" s="20"/>
      <c r="R7" s="5"/>
      <c r="S7" s="9" t="s">
        <v>133</v>
      </c>
      <c r="T7" s="6">
        <f t="shared" ref="T7:T15" si="6">WORKDAY(T6,10)</f>
        <v>46211</v>
      </c>
      <c r="U7" s="5">
        <v>5</v>
      </c>
      <c r="V7" s="6">
        <f t="shared" si="3"/>
        <v>46218</v>
      </c>
      <c r="W7" s="5">
        <v>15</v>
      </c>
      <c r="X7" s="6">
        <f t="shared" si="4"/>
        <v>46239</v>
      </c>
      <c r="Y7" s="23">
        <f t="shared" si="1"/>
        <v>46253</v>
      </c>
      <c r="Z7" s="20"/>
    </row>
    <row r="8" spans="1:33" x14ac:dyDescent="0.25">
      <c r="A8" s="15" t="s">
        <v>105</v>
      </c>
      <c r="B8" s="3" t="s">
        <v>57</v>
      </c>
      <c r="C8" s="3" t="s">
        <v>46</v>
      </c>
      <c r="D8" s="3" t="s">
        <v>47</v>
      </c>
      <c r="E8" s="5" t="s">
        <v>15</v>
      </c>
      <c r="F8" s="5">
        <v>364886</v>
      </c>
      <c r="H8" s="6">
        <v>46224</v>
      </c>
      <c r="I8" s="12">
        <f t="shared" si="0"/>
        <v>9</v>
      </c>
      <c r="J8" s="6">
        <f t="shared" si="5"/>
        <v>46231</v>
      </c>
      <c r="K8" s="8">
        <v>46259</v>
      </c>
      <c r="L8" s="12">
        <f t="shared" si="2"/>
        <v>21</v>
      </c>
      <c r="M8" s="9" t="s">
        <v>16</v>
      </c>
      <c r="N8" s="17"/>
      <c r="O8" s="20"/>
      <c r="R8" s="5"/>
      <c r="S8" s="9" t="s">
        <v>133</v>
      </c>
      <c r="T8" s="6">
        <f t="shared" si="6"/>
        <v>46225</v>
      </c>
      <c r="U8" s="5">
        <v>5</v>
      </c>
      <c r="V8" s="6">
        <f t="shared" si="3"/>
        <v>46232</v>
      </c>
      <c r="W8" s="5">
        <v>15</v>
      </c>
      <c r="X8" s="6">
        <f t="shared" si="4"/>
        <v>46253</v>
      </c>
      <c r="Y8" s="23">
        <f t="shared" si="1"/>
        <v>46267</v>
      </c>
      <c r="Z8" s="20"/>
    </row>
    <row r="9" spans="1:33" x14ac:dyDescent="0.25">
      <c r="A9" s="15" t="s">
        <v>105</v>
      </c>
      <c r="B9" s="3" t="s">
        <v>64</v>
      </c>
      <c r="C9" s="3" t="s">
        <v>65</v>
      </c>
      <c r="D9" s="3" t="s">
        <v>38</v>
      </c>
      <c r="E9" s="5" t="s">
        <v>20</v>
      </c>
      <c r="F9" s="5">
        <v>366208</v>
      </c>
      <c r="H9" s="6">
        <v>46246</v>
      </c>
      <c r="I9" s="12">
        <f t="shared" si="0"/>
        <v>17</v>
      </c>
      <c r="J9" s="6">
        <f t="shared" si="5"/>
        <v>46253</v>
      </c>
      <c r="K9" s="8">
        <v>46281</v>
      </c>
      <c r="L9" s="12">
        <f t="shared" si="2"/>
        <v>21</v>
      </c>
      <c r="M9" s="9" t="s">
        <v>16</v>
      </c>
      <c r="N9" s="17"/>
      <c r="O9" s="20"/>
      <c r="R9" s="5"/>
      <c r="S9" s="9" t="s">
        <v>133</v>
      </c>
      <c r="T9" s="6">
        <f t="shared" si="6"/>
        <v>46239</v>
      </c>
      <c r="U9" s="5">
        <v>5</v>
      </c>
      <c r="V9" s="6">
        <f t="shared" si="3"/>
        <v>46246</v>
      </c>
      <c r="W9" s="5">
        <v>15</v>
      </c>
      <c r="X9" s="6">
        <f t="shared" si="4"/>
        <v>46267</v>
      </c>
      <c r="Y9" s="23">
        <f t="shared" si="1"/>
        <v>46281</v>
      </c>
      <c r="Z9" s="20"/>
    </row>
    <row r="10" spans="1:33" x14ac:dyDescent="0.25">
      <c r="A10" s="15" t="s">
        <v>105</v>
      </c>
      <c r="B10" s="3" t="s">
        <v>72</v>
      </c>
      <c r="C10" s="3" t="s">
        <v>73</v>
      </c>
      <c r="D10" s="3" t="s">
        <v>35</v>
      </c>
      <c r="E10" s="5" t="s">
        <v>20</v>
      </c>
      <c r="F10" s="5">
        <v>366129</v>
      </c>
      <c r="H10" s="6">
        <v>46268</v>
      </c>
      <c r="I10" s="12">
        <f t="shared" si="0"/>
        <v>17</v>
      </c>
      <c r="J10" s="6">
        <f t="shared" si="5"/>
        <v>46275</v>
      </c>
      <c r="K10" s="8">
        <v>46289</v>
      </c>
      <c r="L10" s="12">
        <f t="shared" si="2"/>
        <v>11</v>
      </c>
      <c r="M10" s="9" t="s">
        <v>16</v>
      </c>
      <c r="N10" s="17"/>
      <c r="O10" s="20"/>
      <c r="R10" s="5"/>
      <c r="S10" s="9" t="s">
        <v>133</v>
      </c>
      <c r="T10" s="6">
        <f t="shared" si="6"/>
        <v>46253</v>
      </c>
      <c r="U10" s="5">
        <v>5</v>
      </c>
      <c r="V10" s="6">
        <f t="shared" si="3"/>
        <v>46260</v>
      </c>
      <c r="W10" s="5">
        <v>15</v>
      </c>
      <c r="X10" s="6">
        <f t="shared" si="4"/>
        <v>46281</v>
      </c>
      <c r="Y10" s="23">
        <f t="shared" si="1"/>
        <v>46295</v>
      </c>
      <c r="Z10" s="20"/>
    </row>
    <row r="11" spans="1:33" x14ac:dyDescent="0.25">
      <c r="A11" s="15" t="s">
        <v>105</v>
      </c>
      <c r="B11" s="3" t="s">
        <v>78</v>
      </c>
      <c r="C11" s="3" t="s">
        <v>79</v>
      </c>
      <c r="D11" s="3" t="s">
        <v>80</v>
      </c>
      <c r="E11" s="5" t="s">
        <v>81</v>
      </c>
      <c r="F11" s="5">
        <v>365843</v>
      </c>
      <c r="H11" s="6">
        <v>46280</v>
      </c>
      <c r="I11" s="12">
        <f t="shared" si="0"/>
        <v>9</v>
      </c>
      <c r="J11" s="6">
        <f t="shared" si="5"/>
        <v>46287</v>
      </c>
      <c r="K11" s="8">
        <v>46315</v>
      </c>
      <c r="L11" s="12">
        <f t="shared" si="2"/>
        <v>21</v>
      </c>
      <c r="M11" s="9" t="s">
        <v>16</v>
      </c>
      <c r="N11" s="17"/>
      <c r="O11" s="20"/>
      <c r="R11" s="5"/>
      <c r="S11" s="9" t="s">
        <v>133</v>
      </c>
      <c r="T11" s="6">
        <f t="shared" si="6"/>
        <v>46267</v>
      </c>
      <c r="U11" s="5">
        <v>5</v>
      </c>
      <c r="V11" s="6">
        <f t="shared" si="3"/>
        <v>46274</v>
      </c>
      <c r="W11" s="5">
        <v>15</v>
      </c>
      <c r="X11" s="6">
        <f t="shared" si="4"/>
        <v>46295</v>
      </c>
      <c r="Y11" s="23">
        <f t="shared" si="1"/>
        <v>46309</v>
      </c>
      <c r="Z11" s="20"/>
    </row>
    <row r="12" spans="1:33" x14ac:dyDescent="0.25">
      <c r="A12" s="15" t="s">
        <v>105</v>
      </c>
      <c r="B12" s="3" t="s">
        <v>84</v>
      </c>
      <c r="C12" s="3" t="s">
        <v>79</v>
      </c>
      <c r="D12" s="3" t="s">
        <v>80</v>
      </c>
      <c r="E12" s="5" t="s">
        <v>81</v>
      </c>
      <c r="F12" s="5">
        <v>365846</v>
      </c>
      <c r="H12" s="6">
        <v>46296</v>
      </c>
      <c r="I12" s="12">
        <f t="shared" si="0"/>
        <v>13</v>
      </c>
      <c r="J12" s="6">
        <f t="shared" si="5"/>
        <v>46303</v>
      </c>
      <c r="K12" s="8">
        <v>46331</v>
      </c>
      <c r="L12" s="12">
        <f t="shared" si="2"/>
        <v>21</v>
      </c>
      <c r="M12" s="9" t="s">
        <v>16</v>
      </c>
      <c r="N12" s="17"/>
      <c r="O12" s="20"/>
      <c r="R12" s="5"/>
      <c r="S12" s="9" t="s">
        <v>133</v>
      </c>
      <c r="T12" s="6">
        <f t="shared" si="6"/>
        <v>46281</v>
      </c>
      <c r="U12" s="5">
        <v>5</v>
      </c>
      <c r="V12" s="6">
        <f t="shared" si="3"/>
        <v>46288</v>
      </c>
      <c r="W12" s="5">
        <v>15</v>
      </c>
      <c r="X12" s="6">
        <f t="shared" si="4"/>
        <v>46309</v>
      </c>
      <c r="Y12" s="23">
        <f t="shared" si="1"/>
        <v>46323</v>
      </c>
      <c r="Z12" s="20"/>
    </row>
    <row r="13" spans="1:33" x14ac:dyDescent="0.25">
      <c r="A13" s="15" t="s">
        <v>105</v>
      </c>
      <c r="B13" s="3" t="s">
        <v>90</v>
      </c>
      <c r="C13" s="3" t="s">
        <v>91</v>
      </c>
      <c r="D13" s="3" t="s">
        <v>92</v>
      </c>
      <c r="E13" s="5" t="s">
        <v>93</v>
      </c>
      <c r="F13" s="5">
        <v>366541</v>
      </c>
      <c r="H13" s="6">
        <v>46311</v>
      </c>
      <c r="I13" s="12">
        <f t="shared" si="0"/>
        <v>12</v>
      </c>
      <c r="J13" s="6">
        <f t="shared" si="5"/>
        <v>46318</v>
      </c>
      <c r="K13" s="8">
        <v>46346</v>
      </c>
      <c r="L13" s="12">
        <f t="shared" si="2"/>
        <v>21</v>
      </c>
      <c r="M13" s="9" t="s">
        <v>16</v>
      </c>
      <c r="N13" s="17"/>
      <c r="O13" s="20"/>
      <c r="R13" s="5"/>
      <c r="S13" s="9" t="s">
        <v>133</v>
      </c>
      <c r="T13" s="6">
        <f t="shared" si="6"/>
        <v>46295</v>
      </c>
      <c r="U13" s="5">
        <v>5</v>
      </c>
      <c r="V13" s="6">
        <f t="shared" si="3"/>
        <v>46302</v>
      </c>
      <c r="W13" s="5">
        <v>15</v>
      </c>
      <c r="X13" s="6">
        <f t="shared" si="4"/>
        <v>46323</v>
      </c>
      <c r="Y13" s="23">
        <f t="shared" si="1"/>
        <v>46337</v>
      </c>
      <c r="Z13" s="20"/>
    </row>
    <row r="14" spans="1:33" x14ac:dyDescent="0.25">
      <c r="A14" s="15" t="s">
        <v>105</v>
      </c>
      <c r="B14" s="3" t="s">
        <v>94</v>
      </c>
      <c r="C14" s="3" t="s">
        <v>95</v>
      </c>
      <c r="D14" s="3" t="s">
        <v>96</v>
      </c>
      <c r="E14" s="5" t="s">
        <v>20</v>
      </c>
      <c r="F14" s="5">
        <v>366212</v>
      </c>
      <c r="H14" s="6">
        <v>46314</v>
      </c>
      <c r="I14" s="12">
        <f t="shared" si="0"/>
        <v>2</v>
      </c>
      <c r="J14" s="6">
        <f t="shared" si="5"/>
        <v>46321</v>
      </c>
      <c r="K14" s="8">
        <v>46349</v>
      </c>
      <c r="L14" s="12">
        <f t="shared" si="2"/>
        <v>21</v>
      </c>
      <c r="M14" s="9" t="s">
        <v>16</v>
      </c>
      <c r="N14" s="17"/>
      <c r="O14" s="20"/>
      <c r="R14" s="5"/>
      <c r="S14" s="9" t="s">
        <v>133</v>
      </c>
      <c r="T14" s="6">
        <f t="shared" si="6"/>
        <v>46309</v>
      </c>
      <c r="U14" s="5">
        <v>5</v>
      </c>
      <c r="V14" s="6">
        <f t="shared" si="3"/>
        <v>46316</v>
      </c>
      <c r="W14" s="5">
        <v>15</v>
      </c>
      <c r="X14" s="6">
        <f t="shared" si="4"/>
        <v>46337</v>
      </c>
      <c r="Y14" s="23">
        <f t="shared" si="1"/>
        <v>46351</v>
      </c>
      <c r="Z14" s="20"/>
    </row>
    <row r="15" spans="1:33" x14ac:dyDescent="0.25">
      <c r="A15" s="15" t="s">
        <v>105</v>
      </c>
      <c r="B15" s="3" t="s">
        <v>100</v>
      </c>
      <c r="C15" s="3" t="s">
        <v>101</v>
      </c>
      <c r="D15" s="3" t="s">
        <v>35</v>
      </c>
      <c r="E15" s="5" t="s">
        <v>20</v>
      </c>
      <c r="F15" s="5">
        <v>365168</v>
      </c>
      <c r="H15" s="6">
        <v>46328</v>
      </c>
      <c r="I15" s="12">
        <f t="shared" si="0"/>
        <v>11</v>
      </c>
      <c r="J15" s="6">
        <f t="shared" si="5"/>
        <v>46335</v>
      </c>
      <c r="K15" s="8">
        <v>46365</v>
      </c>
      <c r="L15" s="12">
        <f t="shared" si="2"/>
        <v>23</v>
      </c>
      <c r="M15" s="9" t="s">
        <v>16</v>
      </c>
      <c r="N15" s="17"/>
      <c r="O15" s="20"/>
      <c r="R15" s="5"/>
      <c r="S15" s="9" t="s">
        <v>133</v>
      </c>
      <c r="T15" s="6">
        <f t="shared" si="6"/>
        <v>46323</v>
      </c>
      <c r="U15" s="5">
        <v>5</v>
      </c>
      <c r="V15" s="6">
        <f t="shared" si="3"/>
        <v>46330</v>
      </c>
      <c r="W15" s="5">
        <v>15</v>
      </c>
      <c r="X15" s="6">
        <f t="shared" si="4"/>
        <v>46351</v>
      </c>
      <c r="Y15" s="23">
        <f t="shared" si="1"/>
        <v>46365</v>
      </c>
      <c r="Z15" s="20"/>
    </row>
    <row r="16" spans="1:33" x14ac:dyDescent="0.25">
      <c r="A16" s="15"/>
      <c r="H16" s="6"/>
      <c r="I16" s="12"/>
      <c r="J16" s="6"/>
      <c r="K16" s="8"/>
      <c r="L16" s="12"/>
      <c r="M16" s="9"/>
      <c r="N16" s="17"/>
      <c r="O16" s="20"/>
      <c r="T16" s="6">
        <f t="shared" ref="T16:T17" si="7">WORKDAY(T15,10)</f>
        <v>46337</v>
      </c>
      <c r="U16" s="5">
        <v>5</v>
      </c>
      <c r="V16" s="6">
        <f t="shared" ref="V16:V17" si="8">WORKDAY(T16,U16)</f>
        <v>46344</v>
      </c>
      <c r="W16" s="5">
        <v>15</v>
      </c>
      <c r="X16" s="6">
        <f t="shared" ref="X16:X17" si="9">WORKDAY(V16,W16)</f>
        <v>46365</v>
      </c>
      <c r="Y16" s="23">
        <f t="shared" si="1"/>
        <v>46379</v>
      </c>
      <c r="Z16" s="20"/>
    </row>
    <row r="17" spans="1:29" x14ac:dyDescent="0.25">
      <c r="B17" s="7"/>
      <c r="H17" s="6"/>
      <c r="I17" s="11"/>
      <c r="J17" s="11"/>
      <c r="K17" s="8"/>
      <c r="L17" s="8"/>
      <c r="M17" s="10"/>
      <c r="N17" s="17"/>
      <c r="O17" s="20"/>
      <c r="T17" s="6">
        <f t="shared" si="7"/>
        <v>46351</v>
      </c>
      <c r="U17" s="5">
        <v>5</v>
      </c>
      <c r="V17" s="6">
        <f t="shared" si="8"/>
        <v>46358</v>
      </c>
      <c r="W17" s="5">
        <v>15</v>
      </c>
      <c r="X17" s="6">
        <f t="shared" si="9"/>
        <v>46379</v>
      </c>
      <c r="Y17" s="23">
        <f t="shared" si="1"/>
        <v>46393</v>
      </c>
      <c r="Z17" s="20"/>
    </row>
    <row r="18" spans="1:29" x14ac:dyDescent="0.25">
      <c r="B18" s="7"/>
      <c r="H18" s="6"/>
      <c r="I18" s="11"/>
      <c r="J18" s="11"/>
      <c r="K18" s="8"/>
      <c r="L18" s="8"/>
      <c r="M18" s="10"/>
      <c r="N18" s="17"/>
      <c r="O18" s="20"/>
      <c r="T18" s="6"/>
      <c r="U18" s="5"/>
      <c r="V18" s="6"/>
      <c r="W18" s="5"/>
      <c r="X18" s="6"/>
      <c r="Y18" s="6"/>
      <c r="Z18" s="20"/>
    </row>
    <row r="19" spans="1:29" x14ac:dyDescent="0.25">
      <c r="B19" s="7"/>
      <c r="H19" s="6"/>
      <c r="I19" s="4"/>
      <c r="J19" s="11"/>
      <c r="K19" s="8"/>
      <c r="L19" s="8"/>
      <c r="M19" s="10"/>
      <c r="N19" s="17"/>
      <c r="O19" s="20"/>
      <c r="T19" s="6"/>
      <c r="U19" s="6"/>
      <c r="Z19" s="20"/>
    </row>
    <row r="20" spans="1:29" x14ac:dyDescent="0.25">
      <c r="A20" s="15" t="s">
        <v>107</v>
      </c>
      <c r="B20" s="3" t="s">
        <v>5</v>
      </c>
      <c r="C20" s="3" t="s">
        <v>6</v>
      </c>
      <c r="D20" s="3" t="s">
        <v>7</v>
      </c>
      <c r="E20" s="5" t="s">
        <v>8</v>
      </c>
      <c r="F20" s="5">
        <v>364091</v>
      </c>
      <c r="G20" s="14" t="s">
        <v>106</v>
      </c>
      <c r="H20" s="6">
        <v>46100</v>
      </c>
      <c r="I20" s="12"/>
      <c r="J20" s="6">
        <f>WORKDAY(H20,5)</f>
        <v>46107</v>
      </c>
      <c r="K20" s="8">
        <v>46156</v>
      </c>
      <c r="L20" s="12">
        <f>NETWORKDAYS(J20,K20)</f>
        <v>36</v>
      </c>
      <c r="M20" s="9" t="s">
        <v>9</v>
      </c>
      <c r="N20" s="17"/>
      <c r="O20" s="20"/>
      <c r="Q20" s="18" t="s">
        <v>127</v>
      </c>
      <c r="R20" s="14">
        <v>364091</v>
      </c>
      <c r="S20" s="14" t="s">
        <v>106</v>
      </c>
      <c r="T20" s="23">
        <v>46100</v>
      </c>
      <c r="U20" s="22">
        <v>5</v>
      </c>
      <c r="V20" s="21">
        <f>WORKDAY(T20,U20)</f>
        <v>46107</v>
      </c>
      <c r="W20" s="22">
        <v>35</v>
      </c>
      <c r="X20" s="23">
        <f>WORKDAY(V20,W20)</f>
        <v>46156</v>
      </c>
      <c r="Y20" s="23">
        <f>WORKDAY(X20,10)</f>
        <v>46170</v>
      </c>
      <c r="Z20" s="20"/>
      <c r="AB20" s="22" t="s">
        <v>130</v>
      </c>
      <c r="AC20" s="22" t="s">
        <v>130</v>
      </c>
    </row>
    <row r="21" spans="1:29" x14ac:dyDescent="0.25">
      <c r="A21" s="15" t="s">
        <v>107</v>
      </c>
      <c r="B21" s="3" t="s">
        <v>25</v>
      </c>
      <c r="C21" s="3" t="s">
        <v>26</v>
      </c>
      <c r="D21" s="3" t="s">
        <v>27</v>
      </c>
      <c r="E21" s="5" t="s">
        <v>28</v>
      </c>
      <c r="F21" s="5">
        <v>364222</v>
      </c>
      <c r="G21" s="14" t="s">
        <v>106</v>
      </c>
      <c r="H21" s="6">
        <v>46178</v>
      </c>
      <c r="I21" s="12">
        <f t="shared" ref="I21:I27" si="10">NETWORKDAYS($H20,H21)</f>
        <v>57</v>
      </c>
      <c r="J21" s="6">
        <f t="shared" ref="J21:J44" si="11">WORKDAY(H21,5)</f>
        <v>46185</v>
      </c>
      <c r="K21" s="8">
        <v>46206</v>
      </c>
      <c r="L21" s="12">
        <f t="shared" ref="L21:L44" si="12">NETWORKDAYS(J21,K21)</f>
        <v>16</v>
      </c>
      <c r="M21" s="9" t="s">
        <v>9</v>
      </c>
      <c r="N21" s="17"/>
      <c r="O21" s="20"/>
      <c r="Q21" s="14" t="s">
        <v>116</v>
      </c>
      <c r="R21" s="14">
        <v>364222</v>
      </c>
      <c r="S21" s="14" t="s">
        <v>106</v>
      </c>
      <c r="T21" s="23">
        <v>46178</v>
      </c>
      <c r="U21" s="22">
        <v>5</v>
      </c>
      <c r="V21" s="21">
        <f>WORKDAY(T21,U21)</f>
        <v>46185</v>
      </c>
      <c r="W21" s="22">
        <v>14</v>
      </c>
      <c r="X21" s="23">
        <f>WORKDAY(V21,W21)</f>
        <v>46205</v>
      </c>
      <c r="Y21" s="23">
        <f t="shared" ref="Y21:Y31" si="13">WORKDAY(X21,10)</f>
        <v>46219</v>
      </c>
      <c r="Z21" s="20"/>
      <c r="AB21" s="22" t="s">
        <v>132</v>
      </c>
      <c r="AC21" s="22"/>
    </row>
    <row r="22" spans="1:29" x14ac:dyDescent="0.25">
      <c r="A22" s="15" t="s">
        <v>107</v>
      </c>
      <c r="B22" s="3" t="s">
        <v>39</v>
      </c>
      <c r="C22" s="3" t="s">
        <v>40</v>
      </c>
      <c r="D22" s="3" t="s">
        <v>41</v>
      </c>
      <c r="E22" s="5" t="s">
        <v>28</v>
      </c>
      <c r="F22" s="5">
        <v>364461</v>
      </c>
      <c r="G22" s="14" t="s">
        <v>106</v>
      </c>
      <c r="H22" s="6">
        <v>46199</v>
      </c>
      <c r="I22" s="12">
        <f t="shared" si="10"/>
        <v>16</v>
      </c>
      <c r="J22" s="6">
        <f t="shared" si="11"/>
        <v>46206</v>
      </c>
      <c r="K22" s="8">
        <v>46227</v>
      </c>
      <c r="L22" s="12">
        <f t="shared" si="12"/>
        <v>16</v>
      </c>
      <c r="M22" s="9" t="s">
        <v>9</v>
      </c>
      <c r="N22" s="17"/>
      <c r="O22" s="20"/>
      <c r="Q22" s="14" t="s">
        <v>115</v>
      </c>
      <c r="R22" s="14">
        <v>364461</v>
      </c>
      <c r="S22" s="14" t="s">
        <v>106</v>
      </c>
      <c r="T22" s="23">
        <f>WORKDAY(T21,10)</f>
        <v>46192</v>
      </c>
      <c r="U22" s="22">
        <v>5</v>
      </c>
      <c r="V22" s="21">
        <f t="shared" ref="V22:V27" si="14">WORKDAY(T22,U22)</f>
        <v>46199</v>
      </c>
      <c r="W22" s="22">
        <v>20</v>
      </c>
      <c r="X22" s="23">
        <f t="shared" ref="X22:X27" si="15">WORKDAY(V22,W22)</f>
        <v>46227</v>
      </c>
      <c r="Y22" s="23">
        <f t="shared" si="13"/>
        <v>46241</v>
      </c>
      <c r="Z22" s="20"/>
      <c r="AB22" s="22" t="s">
        <v>132</v>
      </c>
      <c r="AC22" s="22"/>
    </row>
    <row r="23" spans="1:29" x14ac:dyDescent="0.25">
      <c r="A23" s="15" t="s">
        <v>107</v>
      </c>
      <c r="B23" s="3" t="s">
        <v>53</v>
      </c>
      <c r="C23" s="3" t="s">
        <v>54</v>
      </c>
      <c r="D23" s="3" t="s">
        <v>55</v>
      </c>
      <c r="E23" s="5" t="s">
        <v>56</v>
      </c>
      <c r="F23" s="5">
        <v>365450</v>
      </c>
      <c r="H23" s="6">
        <v>46216</v>
      </c>
      <c r="I23" s="12">
        <f t="shared" si="10"/>
        <v>12</v>
      </c>
      <c r="J23" s="6">
        <f t="shared" si="11"/>
        <v>46223</v>
      </c>
      <c r="K23" s="8">
        <v>46254</v>
      </c>
      <c r="L23" s="12">
        <f t="shared" si="12"/>
        <v>24</v>
      </c>
      <c r="M23" s="9" t="s">
        <v>9</v>
      </c>
      <c r="N23" s="17"/>
      <c r="O23" s="20"/>
      <c r="R23" s="5"/>
      <c r="S23" s="9" t="s">
        <v>133</v>
      </c>
      <c r="T23" s="6">
        <f t="shared" ref="T23:T27" si="16">WORKDAY(T22,10)</f>
        <v>46206</v>
      </c>
      <c r="U23" s="5">
        <v>5</v>
      </c>
      <c r="V23" s="6">
        <f t="shared" si="14"/>
        <v>46213</v>
      </c>
      <c r="W23" s="5">
        <v>20</v>
      </c>
      <c r="X23" s="6">
        <f t="shared" si="15"/>
        <v>46241</v>
      </c>
      <c r="Y23" s="23">
        <f t="shared" si="13"/>
        <v>46255</v>
      </c>
      <c r="Z23" s="20"/>
    </row>
    <row r="24" spans="1:29" x14ac:dyDescent="0.25">
      <c r="A24" s="15" t="s">
        <v>107</v>
      </c>
      <c r="B24" s="3" t="s">
        <v>58</v>
      </c>
      <c r="C24" s="3" t="s">
        <v>59</v>
      </c>
      <c r="D24" s="3" t="s">
        <v>60</v>
      </c>
      <c r="E24" s="5" t="s">
        <v>28</v>
      </c>
      <c r="F24" s="5">
        <v>365267</v>
      </c>
      <c r="H24" s="6">
        <v>46237</v>
      </c>
      <c r="I24" s="12">
        <f t="shared" si="10"/>
        <v>16</v>
      </c>
      <c r="J24" s="6">
        <f t="shared" si="11"/>
        <v>46244</v>
      </c>
      <c r="K24" s="8">
        <v>46275</v>
      </c>
      <c r="L24" s="12">
        <f t="shared" si="12"/>
        <v>24</v>
      </c>
      <c r="M24" s="9" t="s">
        <v>9</v>
      </c>
      <c r="N24" s="17"/>
      <c r="O24" s="20"/>
      <c r="R24" s="5"/>
      <c r="S24" s="9" t="s">
        <v>133</v>
      </c>
      <c r="T24" s="6">
        <f t="shared" si="16"/>
        <v>46220</v>
      </c>
      <c r="U24" s="5">
        <v>5</v>
      </c>
      <c r="V24" s="6">
        <f t="shared" si="14"/>
        <v>46227</v>
      </c>
      <c r="W24" s="5">
        <v>20</v>
      </c>
      <c r="X24" s="6">
        <f t="shared" si="15"/>
        <v>46255</v>
      </c>
      <c r="Y24" s="23">
        <f t="shared" si="13"/>
        <v>46269</v>
      </c>
      <c r="Z24" s="20"/>
    </row>
    <row r="25" spans="1:29" x14ac:dyDescent="0.25">
      <c r="A25" s="15" t="s">
        <v>107</v>
      </c>
      <c r="B25" s="3" t="s">
        <v>69</v>
      </c>
      <c r="C25" s="3" t="s">
        <v>70</v>
      </c>
      <c r="D25" s="3" t="s">
        <v>71</v>
      </c>
      <c r="E25" s="5" t="s">
        <v>28</v>
      </c>
      <c r="F25" s="5">
        <v>366113</v>
      </c>
      <c r="H25" s="6">
        <v>46258</v>
      </c>
      <c r="I25" s="12">
        <f t="shared" si="10"/>
        <v>16</v>
      </c>
      <c r="J25" s="6">
        <f t="shared" si="11"/>
        <v>46265</v>
      </c>
      <c r="K25" s="8">
        <v>46296</v>
      </c>
      <c r="L25" s="12">
        <f t="shared" si="12"/>
        <v>24</v>
      </c>
      <c r="M25" s="9" t="s">
        <v>9</v>
      </c>
      <c r="N25" s="17"/>
      <c r="O25" s="20"/>
      <c r="R25" s="5"/>
      <c r="S25" s="9" t="s">
        <v>133</v>
      </c>
      <c r="T25" s="6">
        <f t="shared" si="16"/>
        <v>46234</v>
      </c>
      <c r="U25" s="5">
        <v>5</v>
      </c>
      <c r="V25" s="6">
        <f t="shared" si="14"/>
        <v>46241</v>
      </c>
      <c r="W25" s="5">
        <v>20</v>
      </c>
      <c r="X25" s="6">
        <f t="shared" si="15"/>
        <v>46269</v>
      </c>
      <c r="Y25" s="23">
        <f t="shared" si="13"/>
        <v>46283</v>
      </c>
      <c r="Z25" s="20"/>
    </row>
    <row r="26" spans="1:29" x14ac:dyDescent="0.25">
      <c r="A26" s="15" t="s">
        <v>107</v>
      </c>
      <c r="B26" s="3" t="s">
        <v>77</v>
      </c>
      <c r="C26" s="3" t="s">
        <v>67</v>
      </c>
      <c r="D26" s="3" t="s">
        <v>68</v>
      </c>
      <c r="E26" s="5" t="s">
        <v>8</v>
      </c>
      <c r="F26" s="5">
        <v>366477</v>
      </c>
      <c r="H26" s="6">
        <v>46279</v>
      </c>
      <c r="I26" s="12">
        <f t="shared" si="10"/>
        <v>16</v>
      </c>
      <c r="J26" s="6">
        <f t="shared" si="11"/>
        <v>46286</v>
      </c>
      <c r="K26" s="8">
        <v>46356</v>
      </c>
      <c r="L26" s="12">
        <f t="shared" si="12"/>
        <v>51</v>
      </c>
      <c r="M26" s="9" t="s">
        <v>9</v>
      </c>
      <c r="N26" s="17"/>
      <c r="O26" s="20"/>
      <c r="R26" s="5"/>
      <c r="S26" s="9" t="s">
        <v>133</v>
      </c>
      <c r="T26" s="6">
        <f t="shared" si="16"/>
        <v>46248</v>
      </c>
      <c r="U26" s="5">
        <v>5</v>
      </c>
      <c r="V26" s="6">
        <f t="shared" si="14"/>
        <v>46255</v>
      </c>
      <c r="W26" s="5">
        <v>20</v>
      </c>
      <c r="X26" s="6">
        <f t="shared" si="15"/>
        <v>46283</v>
      </c>
      <c r="Y26" s="23">
        <f t="shared" si="13"/>
        <v>46297</v>
      </c>
      <c r="Z26" s="20"/>
    </row>
    <row r="27" spans="1:29" x14ac:dyDescent="0.25">
      <c r="A27" s="15" t="s">
        <v>107</v>
      </c>
      <c r="B27" s="3" t="s">
        <v>85</v>
      </c>
      <c r="C27" s="3" t="s">
        <v>86</v>
      </c>
      <c r="D27" s="3" t="s">
        <v>87</v>
      </c>
      <c r="E27" s="5" t="s">
        <v>8</v>
      </c>
      <c r="F27" s="5">
        <v>366112</v>
      </c>
      <c r="H27" s="6">
        <v>46300</v>
      </c>
      <c r="I27" s="12">
        <f t="shared" si="10"/>
        <v>16</v>
      </c>
      <c r="J27" s="6">
        <f t="shared" si="11"/>
        <v>46307</v>
      </c>
      <c r="K27" s="8">
        <v>46338</v>
      </c>
      <c r="L27" s="12">
        <f t="shared" si="12"/>
        <v>24</v>
      </c>
      <c r="M27" s="9" t="s">
        <v>9</v>
      </c>
      <c r="N27" s="17"/>
      <c r="O27" s="20"/>
      <c r="R27" s="5"/>
      <c r="S27" s="9" t="s">
        <v>133</v>
      </c>
      <c r="T27" s="6">
        <f t="shared" si="16"/>
        <v>46262</v>
      </c>
      <c r="U27" s="5">
        <v>5</v>
      </c>
      <c r="V27" s="6">
        <f t="shared" si="14"/>
        <v>46269</v>
      </c>
      <c r="W27" s="5">
        <v>20</v>
      </c>
      <c r="X27" s="6">
        <f t="shared" si="15"/>
        <v>46297</v>
      </c>
      <c r="Y27" s="23">
        <f t="shared" si="13"/>
        <v>46311</v>
      </c>
      <c r="Z27" s="20"/>
    </row>
    <row r="28" spans="1:29" x14ac:dyDescent="0.25">
      <c r="A28" s="15"/>
      <c r="H28" s="6"/>
      <c r="I28" s="12"/>
      <c r="J28" s="6"/>
      <c r="K28" s="8"/>
      <c r="L28" s="12"/>
      <c r="M28" s="9"/>
      <c r="N28" s="17"/>
      <c r="O28" s="20"/>
      <c r="T28" s="6">
        <f t="shared" ref="T28:T31" si="17">WORKDAY(T27,10)</f>
        <v>46276</v>
      </c>
      <c r="U28" s="5">
        <v>5</v>
      </c>
      <c r="V28" s="6">
        <f t="shared" ref="V28:V31" si="18">WORKDAY(T28,U28)</f>
        <v>46283</v>
      </c>
      <c r="W28" s="5">
        <v>20</v>
      </c>
      <c r="X28" s="6">
        <f t="shared" ref="X28:X31" si="19">WORKDAY(V28,W28)</f>
        <v>46311</v>
      </c>
      <c r="Y28" s="23">
        <f t="shared" si="13"/>
        <v>46325</v>
      </c>
      <c r="Z28" s="20"/>
    </row>
    <row r="29" spans="1:29" x14ac:dyDescent="0.25">
      <c r="A29" s="15"/>
      <c r="H29" s="6"/>
      <c r="I29" s="12"/>
      <c r="J29" s="6"/>
      <c r="K29" s="8"/>
      <c r="L29" s="12"/>
      <c r="M29" s="9"/>
      <c r="N29" s="17"/>
      <c r="O29" s="20"/>
      <c r="T29" s="6">
        <f t="shared" si="17"/>
        <v>46290</v>
      </c>
      <c r="U29" s="5">
        <v>5</v>
      </c>
      <c r="V29" s="6">
        <f t="shared" si="18"/>
        <v>46297</v>
      </c>
      <c r="W29" s="5">
        <v>20</v>
      </c>
      <c r="X29" s="6">
        <f t="shared" si="19"/>
        <v>46325</v>
      </c>
      <c r="Y29" s="23">
        <f t="shared" si="13"/>
        <v>46339</v>
      </c>
      <c r="Z29" s="20"/>
    </row>
    <row r="30" spans="1:29" x14ac:dyDescent="0.25">
      <c r="A30" s="15"/>
      <c r="H30" s="6"/>
      <c r="I30" s="12"/>
      <c r="J30" s="6"/>
      <c r="K30" s="8"/>
      <c r="L30" s="12"/>
      <c r="M30" s="9"/>
      <c r="N30" s="17"/>
      <c r="O30" s="20"/>
      <c r="T30" s="6">
        <f t="shared" si="17"/>
        <v>46304</v>
      </c>
      <c r="U30" s="5">
        <v>5</v>
      </c>
      <c r="V30" s="6">
        <f t="shared" si="18"/>
        <v>46311</v>
      </c>
      <c r="W30" s="5">
        <v>20</v>
      </c>
      <c r="X30" s="6">
        <f t="shared" si="19"/>
        <v>46339</v>
      </c>
      <c r="Y30" s="23">
        <f t="shared" si="13"/>
        <v>46353</v>
      </c>
      <c r="Z30" s="20"/>
    </row>
    <row r="31" spans="1:29" x14ac:dyDescent="0.25">
      <c r="A31" s="15"/>
      <c r="H31" s="6"/>
      <c r="I31" s="12"/>
      <c r="J31" s="6"/>
      <c r="K31" s="8"/>
      <c r="L31" s="12"/>
      <c r="M31" s="9"/>
      <c r="N31" s="17"/>
      <c r="O31" s="20"/>
      <c r="T31" s="6">
        <f t="shared" si="17"/>
        <v>46318</v>
      </c>
      <c r="U31" s="5">
        <v>5</v>
      </c>
      <c r="V31" s="6">
        <f t="shared" si="18"/>
        <v>46325</v>
      </c>
      <c r="W31" s="5">
        <v>20</v>
      </c>
      <c r="X31" s="6">
        <f t="shared" si="19"/>
        <v>46353</v>
      </c>
      <c r="Y31" s="23">
        <f t="shared" si="13"/>
        <v>46367</v>
      </c>
      <c r="Z31" s="20"/>
    </row>
    <row r="32" spans="1:29" x14ac:dyDescent="0.25">
      <c r="A32" s="15"/>
      <c r="H32" s="6"/>
      <c r="I32" s="12"/>
      <c r="J32" s="6"/>
      <c r="K32" s="8"/>
      <c r="L32" s="12"/>
      <c r="M32" s="9"/>
      <c r="N32" s="17"/>
      <c r="O32" s="20"/>
      <c r="T32" s="6"/>
      <c r="U32" s="5"/>
      <c r="V32" s="6"/>
      <c r="W32" s="5"/>
      <c r="X32" s="6"/>
      <c r="Y32" s="6"/>
      <c r="Z32" s="20"/>
    </row>
    <row r="33" spans="1:32" x14ac:dyDescent="0.25">
      <c r="H33" s="6"/>
      <c r="I33" s="12"/>
      <c r="J33" s="12"/>
      <c r="K33" s="8"/>
      <c r="L33" s="8"/>
      <c r="N33" s="17"/>
      <c r="O33" s="20"/>
      <c r="Z33" s="20"/>
    </row>
    <row r="34" spans="1:32" x14ac:dyDescent="0.25">
      <c r="A34" s="15" t="s">
        <v>119</v>
      </c>
      <c r="B34" s="3" t="s">
        <v>10</v>
      </c>
      <c r="C34" s="3" t="s">
        <v>11</v>
      </c>
      <c r="D34" s="3" t="s">
        <v>12</v>
      </c>
      <c r="E34" s="5" t="s">
        <v>13</v>
      </c>
      <c r="F34" s="5">
        <v>364696</v>
      </c>
      <c r="G34" s="14" t="s">
        <v>106</v>
      </c>
      <c r="H34" s="6">
        <v>46112</v>
      </c>
      <c r="I34" s="12"/>
      <c r="J34" s="6">
        <f>WORKDAY(H34,5)</f>
        <v>46119</v>
      </c>
      <c r="K34" s="8">
        <v>46175</v>
      </c>
      <c r="L34" s="12">
        <f t="shared" si="12"/>
        <v>41</v>
      </c>
      <c r="M34" s="5" t="s">
        <v>14</v>
      </c>
      <c r="N34" s="17"/>
      <c r="O34" s="20"/>
      <c r="Q34" s="18" t="s">
        <v>112</v>
      </c>
      <c r="R34" s="14">
        <v>364696</v>
      </c>
      <c r="S34" s="14" t="s">
        <v>106</v>
      </c>
      <c r="T34" s="23">
        <v>46112</v>
      </c>
      <c r="U34" s="22">
        <v>5</v>
      </c>
      <c r="V34" s="21">
        <f>WORKDAY(T34,U34)</f>
        <v>46119</v>
      </c>
      <c r="W34" s="22">
        <v>40</v>
      </c>
      <c r="X34" s="23">
        <f>WORKDAY(V34,W34)</f>
        <v>46175</v>
      </c>
      <c r="Y34" s="23">
        <f t="shared" ref="Y34:Y44" si="20">WORKDAY(X34,10)</f>
        <v>46189</v>
      </c>
      <c r="Z34" s="20"/>
      <c r="AB34" s="22" t="s">
        <v>130</v>
      </c>
      <c r="AC34" s="22" t="s">
        <v>130</v>
      </c>
    </row>
    <row r="35" spans="1:32" x14ac:dyDescent="0.25">
      <c r="A35" s="15" t="s">
        <v>119</v>
      </c>
      <c r="B35" s="3" t="s">
        <v>21</v>
      </c>
      <c r="C35" s="3" t="s">
        <v>22</v>
      </c>
      <c r="D35" s="3" t="s">
        <v>23</v>
      </c>
      <c r="E35" s="5" t="s">
        <v>24</v>
      </c>
      <c r="F35" s="5">
        <v>365072</v>
      </c>
      <c r="G35" s="14" t="s">
        <v>106</v>
      </c>
      <c r="H35" s="6">
        <v>46174</v>
      </c>
      <c r="I35" s="12">
        <f t="shared" ref="I35:I40" si="21">NETWORKDAYS($H34,H35)</f>
        <v>45</v>
      </c>
      <c r="J35" s="6">
        <f>WORKDAY(H35,5)</f>
        <v>46181</v>
      </c>
      <c r="K35" s="8">
        <v>46226</v>
      </c>
      <c r="L35" s="12">
        <f t="shared" si="12"/>
        <v>34</v>
      </c>
      <c r="M35" s="5" t="s">
        <v>14</v>
      </c>
      <c r="N35" s="17"/>
      <c r="O35" s="20"/>
      <c r="Q35" s="14" t="s">
        <v>113</v>
      </c>
      <c r="R35" s="14">
        <v>365072</v>
      </c>
      <c r="S35" s="14" t="s">
        <v>106</v>
      </c>
      <c r="T35" s="23">
        <v>46174</v>
      </c>
      <c r="U35" s="22">
        <v>5</v>
      </c>
      <c r="V35" s="21">
        <f>WORKDAY(T35,U35)</f>
        <v>46181</v>
      </c>
      <c r="W35" s="22">
        <v>25</v>
      </c>
      <c r="X35" s="23">
        <f>WORKDAY(V35,W35)</f>
        <v>46216</v>
      </c>
      <c r="Y35" s="23">
        <f t="shared" si="20"/>
        <v>46230</v>
      </c>
      <c r="Z35" s="20"/>
      <c r="AB35" s="22" t="s">
        <v>132</v>
      </c>
      <c r="AC35" s="22"/>
    </row>
    <row r="36" spans="1:32" x14ac:dyDescent="0.25">
      <c r="A36" s="15" t="s">
        <v>119</v>
      </c>
      <c r="B36" s="3" t="s">
        <v>29</v>
      </c>
      <c r="C36" s="3" t="s">
        <v>30</v>
      </c>
      <c r="D36" s="3" t="s">
        <v>31</v>
      </c>
      <c r="E36" s="5" t="s">
        <v>32</v>
      </c>
      <c r="F36" s="5">
        <v>364732</v>
      </c>
      <c r="G36" s="14" t="s">
        <v>106</v>
      </c>
      <c r="H36" s="6">
        <v>46181</v>
      </c>
      <c r="I36" s="12">
        <f t="shared" si="21"/>
        <v>6</v>
      </c>
      <c r="J36" s="6">
        <f>WORKDAY(H36,5)</f>
        <v>46188</v>
      </c>
      <c r="K36" s="8">
        <v>46233</v>
      </c>
      <c r="L36" s="12">
        <f t="shared" si="12"/>
        <v>34</v>
      </c>
      <c r="M36" s="5" t="s">
        <v>14</v>
      </c>
      <c r="N36" s="17"/>
      <c r="O36" s="20"/>
      <c r="Q36" s="14" t="s">
        <v>114</v>
      </c>
      <c r="R36" s="14">
        <v>364732</v>
      </c>
      <c r="S36" s="14" t="s">
        <v>106</v>
      </c>
      <c r="T36" s="23">
        <f>WORKDAY(T35,10)</f>
        <v>46188</v>
      </c>
      <c r="U36" s="22">
        <v>5</v>
      </c>
      <c r="V36" s="21">
        <f t="shared" ref="V36:V41" si="22">WORKDAY(T36,U36)</f>
        <v>46195</v>
      </c>
      <c r="W36" s="22">
        <v>25</v>
      </c>
      <c r="X36" s="23">
        <f t="shared" ref="X36:X41" si="23">WORKDAY(V36,W36)</f>
        <v>46230</v>
      </c>
      <c r="Y36" s="23">
        <f t="shared" si="20"/>
        <v>46244</v>
      </c>
      <c r="Z36" s="20"/>
      <c r="AB36" s="24"/>
      <c r="AC36" s="22"/>
    </row>
    <row r="37" spans="1:32" x14ac:dyDescent="0.25">
      <c r="A37" s="15" t="s">
        <v>119</v>
      </c>
      <c r="B37" s="3" t="s">
        <v>42</v>
      </c>
      <c r="C37" s="3" t="s">
        <v>43</v>
      </c>
      <c r="D37" s="3" t="s">
        <v>44</v>
      </c>
      <c r="E37" s="5" t="s">
        <v>32</v>
      </c>
      <c r="F37" s="5">
        <v>365274</v>
      </c>
      <c r="H37" s="6">
        <v>46209</v>
      </c>
      <c r="I37" s="12">
        <f t="shared" si="21"/>
        <v>21</v>
      </c>
      <c r="J37" s="6">
        <f>WORKDAY(H37,5)</f>
        <v>46216</v>
      </c>
      <c r="K37" s="8">
        <v>46224</v>
      </c>
      <c r="L37" s="12">
        <f t="shared" si="12"/>
        <v>7</v>
      </c>
      <c r="M37" s="5" t="s">
        <v>14</v>
      </c>
      <c r="N37" s="17"/>
      <c r="O37" s="20"/>
      <c r="R37" s="5"/>
      <c r="S37" s="9" t="s">
        <v>133</v>
      </c>
      <c r="T37" s="6">
        <f t="shared" ref="T37:T41" si="24">WORKDAY(T36,10)</f>
        <v>46202</v>
      </c>
      <c r="U37" s="5">
        <v>5</v>
      </c>
      <c r="V37" s="6">
        <f t="shared" si="22"/>
        <v>46209</v>
      </c>
      <c r="W37" s="5">
        <v>25</v>
      </c>
      <c r="X37" s="6">
        <f t="shared" si="23"/>
        <v>46244</v>
      </c>
      <c r="Y37" s="23">
        <f t="shared" si="20"/>
        <v>46258</v>
      </c>
      <c r="Z37" s="20"/>
    </row>
    <row r="38" spans="1:32" x14ac:dyDescent="0.25">
      <c r="A38" s="15" t="s">
        <v>119</v>
      </c>
      <c r="B38" s="3" t="s">
        <v>48</v>
      </c>
      <c r="C38" s="3" t="s">
        <v>49</v>
      </c>
      <c r="D38" s="3" t="s">
        <v>50</v>
      </c>
      <c r="E38" s="5" t="s">
        <v>51</v>
      </c>
      <c r="F38" s="5">
        <v>365341</v>
      </c>
      <c r="H38" s="6">
        <v>46216</v>
      </c>
      <c r="I38" s="12">
        <f t="shared" si="21"/>
        <v>6</v>
      </c>
      <c r="J38" s="6">
        <f t="shared" si="11"/>
        <v>46223</v>
      </c>
      <c r="K38" s="8">
        <v>46268</v>
      </c>
      <c r="L38" s="12">
        <f t="shared" si="12"/>
        <v>34</v>
      </c>
      <c r="M38" s="5" t="s">
        <v>52</v>
      </c>
      <c r="N38" s="17"/>
      <c r="O38" s="20"/>
      <c r="R38" s="5"/>
      <c r="S38" s="9" t="s">
        <v>133</v>
      </c>
      <c r="T38" s="6">
        <f t="shared" si="24"/>
        <v>46216</v>
      </c>
      <c r="U38" s="5">
        <v>5</v>
      </c>
      <c r="V38" s="6">
        <f t="shared" si="22"/>
        <v>46223</v>
      </c>
      <c r="W38" s="5">
        <v>25</v>
      </c>
      <c r="X38" s="6">
        <f t="shared" si="23"/>
        <v>46258</v>
      </c>
      <c r="Y38" s="23">
        <f t="shared" si="20"/>
        <v>46272</v>
      </c>
      <c r="Z38" s="20"/>
    </row>
    <row r="39" spans="1:32" x14ac:dyDescent="0.25">
      <c r="A39" s="15" t="s">
        <v>119</v>
      </c>
      <c r="B39" s="3" t="s">
        <v>61</v>
      </c>
      <c r="C39" s="3" t="s">
        <v>62</v>
      </c>
      <c r="D39" s="3" t="s">
        <v>63</v>
      </c>
      <c r="E39" s="5" t="s">
        <v>13</v>
      </c>
      <c r="F39" s="5">
        <v>365449</v>
      </c>
      <c r="H39" s="6">
        <v>46244</v>
      </c>
      <c r="I39" s="12">
        <f t="shared" si="21"/>
        <v>21</v>
      </c>
      <c r="J39" s="6">
        <f>WORKDAY(H39,5)</f>
        <v>46251</v>
      </c>
      <c r="K39" s="8">
        <v>46296</v>
      </c>
      <c r="L39" s="12">
        <f t="shared" si="12"/>
        <v>34</v>
      </c>
      <c r="M39" s="5" t="s">
        <v>14</v>
      </c>
      <c r="N39" s="17"/>
      <c r="O39" s="20"/>
      <c r="R39" s="5"/>
      <c r="S39" s="9" t="s">
        <v>133</v>
      </c>
      <c r="T39" s="6">
        <f t="shared" si="24"/>
        <v>46230</v>
      </c>
      <c r="U39" s="5">
        <v>5</v>
      </c>
      <c r="V39" s="6">
        <f t="shared" si="22"/>
        <v>46237</v>
      </c>
      <c r="W39" s="5">
        <v>25</v>
      </c>
      <c r="X39" s="6">
        <f t="shared" si="23"/>
        <v>46272</v>
      </c>
      <c r="Y39" s="23">
        <f t="shared" si="20"/>
        <v>46286</v>
      </c>
      <c r="Z39" s="20"/>
    </row>
    <row r="40" spans="1:32" x14ac:dyDescent="0.25">
      <c r="A40" s="15" t="s">
        <v>119</v>
      </c>
      <c r="B40" s="3" t="s">
        <v>66</v>
      </c>
      <c r="C40" s="3" t="s">
        <v>67</v>
      </c>
      <c r="D40" s="3" t="s">
        <v>68</v>
      </c>
      <c r="E40" s="5" t="s">
        <v>13</v>
      </c>
      <c r="F40" s="5">
        <v>366476</v>
      </c>
      <c r="H40" s="6">
        <v>46251</v>
      </c>
      <c r="I40" s="12">
        <f t="shared" si="21"/>
        <v>6</v>
      </c>
      <c r="J40" s="6">
        <f>WORKDAY(H40,5)</f>
        <v>46258</v>
      </c>
      <c r="K40" s="8">
        <v>46356</v>
      </c>
      <c r="L40" s="12">
        <f t="shared" si="12"/>
        <v>71</v>
      </c>
      <c r="M40" s="5" t="s">
        <v>14</v>
      </c>
      <c r="N40" s="17"/>
      <c r="O40" s="20"/>
      <c r="R40" s="5"/>
      <c r="S40" s="9" t="s">
        <v>133</v>
      </c>
      <c r="T40" s="6">
        <f t="shared" si="24"/>
        <v>46244</v>
      </c>
      <c r="U40" s="5">
        <v>5</v>
      </c>
      <c r="V40" s="6">
        <f t="shared" si="22"/>
        <v>46251</v>
      </c>
      <c r="W40" s="5">
        <v>25</v>
      </c>
      <c r="X40" s="6">
        <f t="shared" si="23"/>
        <v>46286</v>
      </c>
      <c r="Y40" s="23">
        <f t="shared" si="20"/>
        <v>46300</v>
      </c>
      <c r="Z40" s="20"/>
    </row>
    <row r="41" spans="1:32" x14ac:dyDescent="0.25">
      <c r="A41" s="15" t="s">
        <v>119</v>
      </c>
      <c r="B41" s="3" t="s">
        <v>74</v>
      </c>
      <c r="C41" s="3" t="s">
        <v>75</v>
      </c>
      <c r="D41" s="3" t="s">
        <v>76</v>
      </c>
      <c r="E41" s="5" t="s">
        <v>32</v>
      </c>
      <c r="F41" s="5">
        <v>365365</v>
      </c>
      <c r="H41" s="6">
        <v>46276</v>
      </c>
      <c r="I41" s="12">
        <f t="shared" ref="I41:I44" si="25">NETWORKDAYS($H40,H41)</f>
        <v>20</v>
      </c>
      <c r="J41" s="6">
        <f>WORKDAY(H41,5)</f>
        <v>46283</v>
      </c>
      <c r="K41" s="8">
        <v>46330</v>
      </c>
      <c r="L41" s="12">
        <f t="shared" si="12"/>
        <v>34</v>
      </c>
      <c r="M41" s="5" t="s">
        <v>14</v>
      </c>
      <c r="N41" s="17"/>
      <c r="O41" s="20"/>
      <c r="R41" s="5"/>
      <c r="S41" s="9" t="s">
        <v>133</v>
      </c>
      <c r="T41" s="6">
        <f t="shared" si="24"/>
        <v>46258</v>
      </c>
      <c r="U41" s="5">
        <v>5</v>
      </c>
      <c r="V41" s="6">
        <f t="shared" si="22"/>
        <v>46265</v>
      </c>
      <c r="W41" s="5">
        <v>25</v>
      </c>
      <c r="X41" s="6">
        <f t="shared" si="23"/>
        <v>46300</v>
      </c>
      <c r="Y41" s="23">
        <f t="shared" si="20"/>
        <v>46314</v>
      </c>
      <c r="Z41" s="20"/>
    </row>
    <row r="42" spans="1:32" x14ac:dyDescent="0.25">
      <c r="A42" s="15" t="s">
        <v>119</v>
      </c>
      <c r="B42" s="3" t="s">
        <v>82</v>
      </c>
      <c r="C42" s="3" t="s">
        <v>83</v>
      </c>
      <c r="D42" s="3" t="s">
        <v>80</v>
      </c>
      <c r="E42" s="5" t="s">
        <v>51</v>
      </c>
      <c r="F42" s="5">
        <v>365908</v>
      </c>
      <c r="H42" s="6">
        <v>46286</v>
      </c>
      <c r="I42" s="12">
        <f t="shared" si="25"/>
        <v>7</v>
      </c>
      <c r="J42" s="6">
        <f t="shared" si="11"/>
        <v>46293</v>
      </c>
      <c r="K42" s="8">
        <v>46339</v>
      </c>
      <c r="L42" s="12">
        <f t="shared" si="12"/>
        <v>35</v>
      </c>
      <c r="M42" s="5" t="s">
        <v>52</v>
      </c>
      <c r="N42" s="17"/>
      <c r="O42" s="20"/>
      <c r="R42" s="5"/>
      <c r="S42" s="9" t="s">
        <v>133</v>
      </c>
      <c r="T42" s="6">
        <f t="shared" ref="T42:T44" si="26">WORKDAY(T41,10)</f>
        <v>46272</v>
      </c>
      <c r="U42" s="5">
        <v>5</v>
      </c>
      <c r="V42" s="6">
        <f t="shared" ref="V42:V44" si="27">WORKDAY(T42,U42)</f>
        <v>46279</v>
      </c>
      <c r="W42" s="5">
        <v>25</v>
      </c>
      <c r="X42" s="6">
        <f t="shared" ref="X42:X44" si="28">WORKDAY(V42,W42)</f>
        <v>46314</v>
      </c>
      <c r="Y42" s="23">
        <f t="shared" si="20"/>
        <v>46328</v>
      </c>
      <c r="Z42" s="20"/>
    </row>
    <row r="43" spans="1:32" x14ac:dyDescent="0.25">
      <c r="A43" s="15" t="s">
        <v>119</v>
      </c>
      <c r="B43" s="3" t="s">
        <v>88</v>
      </c>
      <c r="C43" s="3" t="s">
        <v>89</v>
      </c>
      <c r="D43" s="3" t="s">
        <v>50</v>
      </c>
      <c r="E43" s="5" t="s">
        <v>51</v>
      </c>
      <c r="F43" s="5">
        <v>365903</v>
      </c>
      <c r="H43" s="6">
        <v>46311</v>
      </c>
      <c r="I43" s="12">
        <f t="shared" si="25"/>
        <v>20</v>
      </c>
      <c r="J43" s="6">
        <f t="shared" si="11"/>
        <v>46318</v>
      </c>
      <c r="K43" s="8">
        <v>46367</v>
      </c>
      <c r="L43" s="12">
        <f t="shared" si="12"/>
        <v>36</v>
      </c>
      <c r="M43" s="5" t="s">
        <v>52</v>
      </c>
      <c r="N43" s="17"/>
      <c r="O43" s="20"/>
      <c r="R43" s="5"/>
      <c r="S43" s="9" t="s">
        <v>133</v>
      </c>
      <c r="T43" s="6">
        <f t="shared" si="26"/>
        <v>46286</v>
      </c>
      <c r="U43" s="5">
        <v>5</v>
      </c>
      <c r="V43" s="6">
        <f t="shared" si="27"/>
        <v>46293</v>
      </c>
      <c r="W43" s="5">
        <v>25</v>
      </c>
      <c r="X43" s="6">
        <f t="shared" si="28"/>
        <v>46328</v>
      </c>
      <c r="Y43" s="23">
        <f t="shared" si="20"/>
        <v>46342</v>
      </c>
      <c r="Z43" s="20"/>
    </row>
    <row r="44" spans="1:32" x14ac:dyDescent="0.25">
      <c r="A44" s="15" t="s">
        <v>119</v>
      </c>
      <c r="B44" s="3" t="s">
        <v>97</v>
      </c>
      <c r="C44" s="3" t="s">
        <v>98</v>
      </c>
      <c r="D44" s="3" t="s">
        <v>99</v>
      </c>
      <c r="E44" s="5" t="s">
        <v>24</v>
      </c>
      <c r="F44" s="5">
        <v>366045</v>
      </c>
      <c r="H44" s="6">
        <v>46322</v>
      </c>
      <c r="I44" s="12">
        <f t="shared" si="25"/>
        <v>8</v>
      </c>
      <c r="J44" s="6">
        <f t="shared" si="11"/>
        <v>46329</v>
      </c>
      <c r="K44" s="8">
        <v>46379</v>
      </c>
      <c r="L44" s="12">
        <f t="shared" si="12"/>
        <v>37</v>
      </c>
      <c r="M44" s="5" t="s">
        <v>14</v>
      </c>
      <c r="N44" s="17"/>
      <c r="O44" s="20"/>
      <c r="R44" s="5"/>
      <c r="S44" s="9" t="s">
        <v>133</v>
      </c>
      <c r="T44" s="6">
        <f t="shared" si="26"/>
        <v>46300</v>
      </c>
      <c r="U44" s="5">
        <v>5</v>
      </c>
      <c r="V44" s="6">
        <f t="shared" si="27"/>
        <v>46307</v>
      </c>
      <c r="W44" s="5">
        <v>25</v>
      </c>
      <c r="X44" s="6">
        <f t="shared" si="28"/>
        <v>46342</v>
      </c>
      <c r="Y44" s="23">
        <f t="shared" si="20"/>
        <v>46356</v>
      </c>
      <c r="Z44" s="20"/>
    </row>
    <row r="45" spans="1:32" x14ac:dyDescent="0.25">
      <c r="H45" s="6"/>
      <c r="I45" s="12"/>
      <c r="J45" s="6"/>
      <c r="K45" s="8"/>
      <c r="L45" s="8"/>
      <c r="N45" s="17"/>
      <c r="O45" s="20"/>
      <c r="R45" s="5"/>
      <c r="S45" s="5"/>
      <c r="T45" s="5"/>
      <c r="U45" s="5"/>
      <c r="V45" s="5"/>
      <c r="W45" s="5"/>
      <c r="X45" s="5"/>
      <c r="Y45" s="5"/>
      <c r="Z45" s="5"/>
      <c r="AA45" s="5"/>
      <c r="AD45" s="5"/>
      <c r="AE45" s="5"/>
      <c r="AF45" s="5"/>
    </row>
    <row r="46" spans="1:32" x14ac:dyDescent="0.25">
      <c r="N46" s="17"/>
      <c r="R46" s="5"/>
      <c r="S46" s="5"/>
      <c r="T46" s="5"/>
      <c r="U46" s="5"/>
      <c r="V46" s="5"/>
      <c r="W46" s="5"/>
      <c r="X46" s="5"/>
      <c r="Y46" s="5"/>
      <c r="Z46" s="5"/>
      <c r="AA46" s="5"/>
      <c r="AD46" s="5"/>
      <c r="AE46" s="5"/>
      <c r="AF46" s="5"/>
    </row>
    <row r="47" spans="1:32" x14ac:dyDescent="0.25">
      <c r="N47" s="17"/>
      <c r="R47" s="5"/>
      <c r="S47" s="5"/>
      <c r="T47" s="5"/>
      <c r="U47" s="5"/>
      <c r="V47" s="5"/>
      <c r="W47" s="5"/>
      <c r="X47" s="5"/>
      <c r="Y47" s="5"/>
      <c r="Z47" s="5"/>
      <c r="AA47" s="5"/>
      <c r="AD47" s="5"/>
      <c r="AE47" s="5"/>
      <c r="AF47" s="5"/>
    </row>
    <row r="48" spans="1:32" x14ac:dyDescent="0.25">
      <c r="A48" s="15" t="s">
        <v>170</v>
      </c>
      <c r="B48" s="3" t="s">
        <v>158</v>
      </c>
      <c r="C48" s="3" t="s">
        <v>151</v>
      </c>
      <c r="D48" s="3" t="s">
        <v>148</v>
      </c>
      <c r="E48" s="5" t="s">
        <v>144</v>
      </c>
      <c r="F48" s="5">
        <v>364994</v>
      </c>
      <c r="G48" s="14" t="s">
        <v>106</v>
      </c>
      <c r="H48" s="6">
        <v>46099</v>
      </c>
      <c r="I48" s="12"/>
      <c r="J48" s="6">
        <f t="shared" ref="J48:J56" si="29">WORKDAY(H48,5)</f>
        <v>46106</v>
      </c>
      <c r="K48" s="8">
        <v>46191</v>
      </c>
      <c r="L48" s="12">
        <f t="shared" ref="L48:L56" si="30">NETWORKDAYS(J48,K48)</f>
        <v>62</v>
      </c>
      <c r="M48" s="5" t="s">
        <v>168</v>
      </c>
      <c r="N48" s="17"/>
      <c r="O48" s="20"/>
      <c r="Q48" s="18" t="s">
        <v>127</v>
      </c>
      <c r="R48" s="14">
        <v>364994</v>
      </c>
      <c r="S48" s="14" t="s">
        <v>106</v>
      </c>
      <c r="T48" s="6">
        <v>46099</v>
      </c>
      <c r="U48" s="5">
        <v>5</v>
      </c>
      <c r="V48" s="6">
        <f t="shared" ref="V48:V49" si="31">WORKDAY(T48,U48)</f>
        <v>46106</v>
      </c>
      <c r="W48" s="5">
        <v>25</v>
      </c>
      <c r="X48" s="6">
        <f t="shared" ref="X48:X49" si="32">WORKDAY(V48,W48)</f>
        <v>46141</v>
      </c>
      <c r="Y48" s="23">
        <f t="shared" ref="Y48:Y49" si="33">WORKDAY(X48,10)</f>
        <v>46155</v>
      </c>
      <c r="Z48" s="20"/>
    </row>
    <row r="49" spans="1:26" x14ac:dyDescent="0.25">
      <c r="A49" s="15" t="s">
        <v>170</v>
      </c>
      <c r="B49" s="3" t="s">
        <v>159</v>
      </c>
      <c r="C49" s="3" t="s">
        <v>152</v>
      </c>
      <c r="D49" s="3" t="s">
        <v>149</v>
      </c>
      <c r="E49" s="5" t="s">
        <v>145</v>
      </c>
      <c r="F49" s="5">
        <v>365179</v>
      </c>
      <c r="G49" s="14" t="s">
        <v>106</v>
      </c>
      <c r="H49" s="6">
        <v>46156</v>
      </c>
      <c r="I49" s="12">
        <f>NETWORKDAYS(H48,H49)</f>
        <v>42</v>
      </c>
      <c r="J49" s="6">
        <f t="shared" si="29"/>
        <v>46163</v>
      </c>
      <c r="K49" s="8">
        <v>46202</v>
      </c>
      <c r="L49" s="12">
        <f t="shared" si="30"/>
        <v>28</v>
      </c>
      <c r="M49" s="5" t="s">
        <v>169</v>
      </c>
      <c r="N49" s="17"/>
      <c r="O49" s="20"/>
      <c r="Q49" s="18" t="s">
        <v>112</v>
      </c>
      <c r="R49" s="14">
        <v>365179</v>
      </c>
      <c r="S49" s="14" t="s">
        <v>106</v>
      </c>
      <c r="T49" s="6">
        <f>WORKDAY(T48,15)</f>
        <v>46120</v>
      </c>
      <c r="U49" s="5">
        <v>5</v>
      </c>
      <c r="V49" s="6">
        <f t="shared" si="31"/>
        <v>46127</v>
      </c>
      <c r="W49" s="5">
        <v>25</v>
      </c>
      <c r="X49" s="6">
        <f t="shared" si="32"/>
        <v>46162</v>
      </c>
      <c r="Y49" s="23">
        <f t="shared" si="33"/>
        <v>46176</v>
      </c>
      <c r="Z49" s="20"/>
    </row>
    <row r="50" spans="1:26" x14ac:dyDescent="0.25">
      <c r="A50" s="15" t="s">
        <v>170</v>
      </c>
      <c r="B50" s="3" t="s">
        <v>160</v>
      </c>
      <c r="C50" s="3" t="s">
        <v>153</v>
      </c>
      <c r="D50" s="3" t="s">
        <v>38</v>
      </c>
      <c r="E50" s="5" t="s">
        <v>145</v>
      </c>
      <c r="F50" s="5">
        <v>366203</v>
      </c>
      <c r="G50" s="14" t="s">
        <v>106</v>
      </c>
      <c r="H50" s="6">
        <v>46190</v>
      </c>
      <c r="I50" s="12">
        <f t="shared" ref="I50:I56" si="34">NETWORKDAYS(H49,H50)</f>
        <v>25</v>
      </c>
      <c r="J50" s="6">
        <f t="shared" si="29"/>
        <v>46197</v>
      </c>
      <c r="K50" s="8">
        <v>46239</v>
      </c>
      <c r="L50" s="12">
        <f t="shared" si="30"/>
        <v>31</v>
      </c>
      <c r="M50" s="5" t="s">
        <v>169</v>
      </c>
      <c r="N50" s="17"/>
      <c r="Q50" s="14" t="s">
        <v>114</v>
      </c>
      <c r="R50" s="14">
        <v>366203</v>
      </c>
      <c r="S50" s="14" t="s">
        <v>106</v>
      </c>
      <c r="T50" s="6">
        <f>WORKDAY(T49,15)</f>
        <v>46141</v>
      </c>
      <c r="U50" s="5">
        <v>5</v>
      </c>
      <c r="V50" s="6">
        <f t="shared" ref="V50:V56" si="35">WORKDAY(T50,U50)</f>
        <v>46148</v>
      </c>
      <c r="W50" s="5">
        <v>25</v>
      </c>
      <c r="X50" s="6">
        <f t="shared" ref="X50:X56" si="36">WORKDAY(V50,W50)</f>
        <v>46183</v>
      </c>
      <c r="Y50" s="23">
        <f t="shared" ref="Y50:Y56" si="37">WORKDAY(X50,10)</f>
        <v>46197</v>
      </c>
      <c r="Z50" s="20"/>
    </row>
    <row r="51" spans="1:26" x14ac:dyDescent="0.25">
      <c r="A51" s="15" t="s">
        <v>170</v>
      </c>
      <c r="B51" s="3" t="s">
        <v>161</v>
      </c>
      <c r="C51" s="3" t="s">
        <v>54</v>
      </c>
      <c r="D51" s="3" t="s">
        <v>55</v>
      </c>
      <c r="E51" s="5" t="s">
        <v>146</v>
      </c>
      <c r="F51" s="5">
        <v>365451</v>
      </c>
      <c r="H51" s="6">
        <v>46211</v>
      </c>
      <c r="I51" s="12">
        <f t="shared" si="34"/>
        <v>16</v>
      </c>
      <c r="J51" s="6">
        <f t="shared" si="29"/>
        <v>46218</v>
      </c>
      <c r="K51" s="8">
        <v>46254</v>
      </c>
      <c r="L51" s="12">
        <f t="shared" si="30"/>
        <v>27</v>
      </c>
      <c r="M51" s="5" t="s">
        <v>169</v>
      </c>
      <c r="N51" s="17"/>
      <c r="S51" s="9" t="s">
        <v>133</v>
      </c>
      <c r="T51" s="6">
        <f>WORKDAY(T50,15)</f>
        <v>46162</v>
      </c>
      <c r="U51" s="5">
        <v>5</v>
      </c>
      <c r="V51" s="6">
        <f t="shared" si="35"/>
        <v>46169</v>
      </c>
      <c r="W51" s="5">
        <v>25</v>
      </c>
      <c r="X51" s="6">
        <f t="shared" si="36"/>
        <v>46204</v>
      </c>
      <c r="Y51" s="23">
        <f t="shared" si="37"/>
        <v>46218</v>
      </c>
      <c r="Z51" s="20"/>
    </row>
    <row r="52" spans="1:26" x14ac:dyDescent="0.25">
      <c r="A52" s="15" t="s">
        <v>170</v>
      </c>
      <c r="B52" s="3" t="s">
        <v>162</v>
      </c>
      <c r="C52" s="3" t="s">
        <v>154</v>
      </c>
      <c r="D52" s="3" t="s">
        <v>38</v>
      </c>
      <c r="E52" s="5" t="s">
        <v>145</v>
      </c>
      <c r="F52" s="5">
        <v>366207</v>
      </c>
      <c r="H52" s="6">
        <v>46245</v>
      </c>
      <c r="I52" s="12">
        <f t="shared" si="34"/>
        <v>25</v>
      </c>
      <c r="J52" s="6">
        <f t="shared" si="29"/>
        <v>46252</v>
      </c>
      <c r="K52" s="8">
        <v>46294</v>
      </c>
      <c r="L52" s="12">
        <f t="shared" si="30"/>
        <v>31</v>
      </c>
      <c r="M52" s="5" t="s">
        <v>169</v>
      </c>
      <c r="N52" s="17"/>
      <c r="S52" s="9" t="s">
        <v>133</v>
      </c>
      <c r="T52" s="6">
        <f t="shared" ref="T52:T56" si="38">WORKDAY(T51,15)</f>
        <v>46183</v>
      </c>
      <c r="U52" s="5">
        <v>5</v>
      </c>
      <c r="V52" s="6">
        <f t="shared" si="35"/>
        <v>46190</v>
      </c>
      <c r="W52" s="5">
        <v>20</v>
      </c>
      <c r="X52" s="6">
        <f t="shared" si="36"/>
        <v>46218</v>
      </c>
      <c r="Y52" s="23">
        <f t="shared" si="37"/>
        <v>46232</v>
      </c>
      <c r="Z52" s="20"/>
    </row>
    <row r="53" spans="1:26" x14ac:dyDescent="0.25">
      <c r="A53" s="15" t="s">
        <v>170</v>
      </c>
      <c r="B53" s="3" t="s">
        <v>163</v>
      </c>
      <c r="C53" s="3" t="s">
        <v>67</v>
      </c>
      <c r="D53" s="3" t="s">
        <v>68</v>
      </c>
      <c r="E53" s="5" t="s">
        <v>147</v>
      </c>
      <c r="F53" s="5">
        <v>366479</v>
      </c>
      <c r="H53" s="6">
        <v>46275</v>
      </c>
      <c r="I53" s="12">
        <f t="shared" si="34"/>
        <v>23</v>
      </c>
      <c r="J53" s="6">
        <f t="shared" si="29"/>
        <v>46282</v>
      </c>
      <c r="K53" s="8">
        <v>46325</v>
      </c>
      <c r="L53" s="12">
        <f t="shared" si="30"/>
        <v>32</v>
      </c>
      <c r="M53" s="5" t="s">
        <v>168</v>
      </c>
      <c r="N53" s="17"/>
      <c r="S53" s="9" t="s">
        <v>133</v>
      </c>
      <c r="T53" s="6">
        <f t="shared" si="38"/>
        <v>46204</v>
      </c>
      <c r="U53" s="5">
        <v>5</v>
      </c>
      <c r="V53" s="6">
        <f t="shared" si="35"/>
        <v>46211</v>
      </c>
      <c r="W53" s="5">
        <v>20</v>
      </c>
      <c r="X53" s="6">
        <f t="shared" si="36"/>
        <v>46239</v>
      </c>
      <c r="Y53" s="23">
        <f t="shared" si="37"/>
        <v>46253</v>
      </c>
      <c r="Z53" s="20"/>
    </row>
    <row r="54" spans="1:26" x14ac:dyDescent="0.25">
      <c r="A54" s="15" t="s">
        <v>170</v>
      </c>
      <c r="B54" s="3" t="s">
        <v>164</v>
      </c>
      <c r="C54" s="3" t="s">
        <v>155</v>
      </c>
      <c r="D54" s="3" t="s">
        <v>80</v>
      </c>
      <c r="E54" s="5" t="s">
        <v>145</v>
      </c>
      <c r="F54" s="5">
        <v>365854</v>
      </c>
      <c r="H54" s="6">
        <v>46325</v>
      </c>
      <c r="I54" s="12">
        <f t="shared" si="34"/>
        <v>37</v>
      </c>
      <c r="J54" s="6">
        <f t="shared" si="29"/>
        <v>46332</v>
      </c>
      <c r="K54" s="8">
        <v>46370</v>
      </c>
      <c r="L54" s="12">
        <f t="shared" si="30"/>
        <v>27</v>
      </c>
      <c r="M54" s="5" t="s">
        <v>169</v>
      </c>
      <c r="S54" s="9" t="s">
        <v>133</v>
      </c>
      <c r="T54" s="6">
        <f t="shared" si="38"/>
        <v>46225</v>
      </c>
      <c r="U54" s="5">
        <v>5</v>
      </c>
      <c r="V54" s="6">
        <f t="shared" si="35"/>
        <v>46232</v>
      </c>
      <c r="W54" s="5">
        <v>20</v>
      </c>
      <c r="X54" s="6">
        <f t="shared" si="36"/>
        <v>46260</v>
      </c>
      <c r="Y54" s="23">
        <f t="shared" si="37"/>
        <v>46274</v>
      </c>
      <c r="Z54" s="20"/>
    </row>
    <row r="55" spans="1:26" x14ac:dyDescent="0.25">
      <c r="A55" s="15" t="s">
        <v>170</v>
      </c>
      <c r="B55" s="3" t="s">
        <v>165</v>
      </c>
      <c r="C55" s="3" t="s">
        <v>155</v>
      </c>
      <c r="D55" s="3" t="s">
        <v>80</v>
      </c>
      <c r="E55" s="5" t="s">
        <v>145</v>
      </c>
      <c r="F55" s="5">
        <v>365855</v>
      </c>
      <c r="H55" s="6">
        <v>46325</v>
      </c>
      <c r="I55" s="12">
        <f t="shared" si="34"/>
        <v>1</v>
      </c>
      <c r="J55" s="6">
        <f t="shared" si="29"/>
        <v>46332</v>
      </c>
      <c r="K55" s="8">
        <v>46370</v>
      </c>
      <c r="L55" s="12">
        <f t="shared" si="30"/>
        <v>27</v>
      </c>
      <c r="M55" s="5" t="s">
        <v>169</v>
      </c>
      <c r="S55" s="9" t="s">
        <v>133</v>
      </c>
      <c r="T55" s="6">
        <f t="shared" si="38"/>
        <v>46246</v>
      </c>
      <c r="U55" s="5">
        <v>5</v>
      </c>
      <c r="V55" s="6">
        <f t="shared" si="35"/>
        <v>46253</v>
      </c>
      <c r="W55" s="5">
        <v>20</v>
      </c>
      <c r="X55" s="6">
        <f t="shared" si="36"/>
        <v>46281</v>
      </c>
      <c r="Y55" s="23">
        <f t="shared" si="37"/>
        <v>46295</v>
      </c>
      <c r="Z55" s="20"/>
    </row>
    <row r="56" spans="1:26" x14ac:dyDescent="0.25">
      <c r="A56" s="15" t="s">
        <v>170</v>
      </c>
      <c r="B56" s="3" t="s">
        <v>166</v>
      </c>
      <c r="C56" s="3" t="s">
        <v>156</v>
      </c>
      <c r="D56" s="3" t="s">
        <v>96</v>
      </c>
      <c r="E56" s="5" t="s">
        <v>145</v>
      </c>
      <c r="F56" s="5">
        <v>366211</v>
      </c>
      <c r="H56" s="6">
        <v>46350</v>
      </c>
      <c r="I56" s="12">
        <f t="shared" si="34"/>
        <v>18</v>
      </c>
      <c r="J56" s="6">
        <f t="shared" si="29"/>
        <v>46357</v>
      </c>
      <c r="K56" s="8">
        <v>46402</v>
      </c>
      <c r="L56" s="12">
        <f t="shared" si="30"/>
        <v>34</v>
      </c>
      <c r="M56" s="5" t="s">
        <v>169</v>
      </c>
      <c r="S56" s="9" t="s">
        <v>133</v>
      </c>
      <c r="T56" s="6">
        <f t="shared" si="38"/>
        <v>46267</v>
      </c>
      <c r="U56" s="5">
        <v>5</v>
      </c>
      <c r="V56" s="6">
        <f t="shared" si="35"/>
        <v>46274</v>
      </c>
      <c r="W56" s="5">
        <v>20</v>
      </c>
      <c r="X56" s="6">
        <f t="shared" si="36"/>
        <v>46302</v>
      </c>
      <c r="Y56" s="23">
        <f t="shared" si="37"/>
        <v>46316</v>
      </c>
      <c r="Z56" s="20"/>
    </row>
    <row r="57" spans="1:26" x14ac:dyDescent="0.25">
      <c r="A57" s="15" t="s">
        <v>170</v>
      </c>
      <c r="B57" s="3" t="s">
        <v>167</v>
      </c>
      <c r="C57" s="3" t="s">
        <v>157</v>
      </c>
      <c r="D57" s="3" t="s">
        <v>150</v>
      </c>
      <c r="E57" s="5" t="s">
        <v>147</v>
      </c>
      <c r="F57" s="5">
        <v>366715</v>
      </c>
      <c r="H57" s="6"/>
      <c r="I57" s="12"/>
      <c r="K57" s="8"/>
      <c r="L57" s="12"/>
      <c r="M57" s="5" t="s">
        <v>168</v>
      </c>
      <c r="T57" s="6">
        <f t="shared" ref="T57:T61" si="39">WORKDAY(T56,15)</f>
        <v>46288</v>
      </c>
      <c r="U57" s="5">
        <v>5</v>
      </c>
      <c r="V57" s="6">
        <f t="shared" ref="V57:V61" si="40">WORKDAY(T57,U57)</f>
        <v>46295</v>
      </c>
      <c r="W57" s="5">
        <v>20</v>
      </c>
      <c r="X57" s="6">
        <f t="shared" ref="X57:X61" si="41">WORKDAY(V57,W57)</f>
        <v>46323</v>
      </c>
      <c r="Y57" s="23">
        <f t="shared" ref="Y57:Y61" si="42">WORKDAY(X57,10)</f>
        <v>46337</v>
      </c>
    </row>
    <row r="58" spans="1:26" x14ac:dyDescent="0.25">
      <c r="K58" s="8"/>
      <c r="T58" s="6">
        <f t="shared" si="39"/>
        <v>46309</v>
      </c>
      <c r="U58" s="5">
        <v>5</v>
      </c>
      <c r="V58" s="6">
        <f t="shared" si="40"/>
        <v>46316</v>
      </c>
      <c r="W58" s="5">
        <v>20</v>
      </c>
      <c r="X58" s="6">
        <f t="shared" si="41"/>
        <v>46344</v>
      </c>
      <c r="Y58" s="23">
        <f t="shared" si="42"/>
        <v>46358</v>
      </c>
    </row>
    <row r="59" spans="1:26" x14ac:dyDescent="0.25">
      <c r="T59" s="6">
        <f t="shared" si="39"/>
        <v>46330</v>
      </c>
      <c r="U59" s="5">
        <v>5</v>
      </c>
      <c r="V59" s="6">
        <f t="shared" si="40"/>
        <v>46337</v>
      </c>
      <c r="W59" s="5">
        <v>20</v>
      </c>
      <c r="X59" s="6">
        <f t="shared" si="41"/>
        <v>46365</v>
      </c>
      <c r="Y59" s="23">
        <f t="shared" si="42"/>
        <v>46379</v>
      </c>
    </row>
    <row r="60" spans="1:26" x14ac:dyDescent="0.25">
      <c r="T60" s="6">
        <f t="shared" si="39"/>
        <v>46351</v>
      </c>
      <c r="U60" s="5">
        <v>5</v>
      </c>
      <c r="V60" s="6">
        <f t="shared" si="40"/>
        <v>46358</v>
      </c>
      <c r="W60" s="5">
        <v>20</v>
      </c>
      <c r="X60" s="6">
        <f t="shared" si="41"/>
        <v>46386</v>
      </c>
      <c r="Y60" s="23">
        <f t="shared" si="42"/>
        <v>46400</v>
      </c>
    </row>
    <row r="61" spans="1:26" x14ac:dyDescent="0.25">
      <c r="T61" s="6">
        <f t="shared" si="39"/>
        <v>46372</v>
      </c>
      <c r="U61" s="5">
        <v>5</v>
      </c>
      <c r="V61" s="6">
        <f t="shared" si="40"/>
        <v>46379</v>
      </c>
      <c r="W61" s="5">
        <v>20</v>
      </c>
      <c r="X61" s="6">
        <f t="shared" si="41"/>
        <v>46407</v>
      </c>
      <c r="Y61" s="23">
        <f t="shared" si="42"/>
        <v>46421</v>
      </c>
    </row>
  </sheetData>
  <mergeCells count="2">
    <mergeCell ref="B1:H1"/>
    <mergeCell ref="Q1:Y1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4A8567DDFEB48985DDA43B351EB95" ma:contentTypeVersion="5" ma:contentTypeDescription="Create a new document." ma:contentTypeScope="" ma:versionID="3ad5bd867822ba119f277e17b5298ede">
  <xsd:schema xmlns:xsd="http://www.w3.org/2001/XMLSchema" xmlns:xs="http://www.w3.org/2001/XMLSchema" xmlns:p="http://schemas.microsoft.com/office/2006/metadata/properties" xmlns:ns2="8fa655a4-476d-4fb1-8864-62d4507a35cb" targetNamespace="http://schemas.microsoft.com/office/2006/metadata/properties" ma:root="true" ma:fieldsID="d98bfa3f983b4db36e41f62f5e63c278" ns2:_="">
    <xsd:import namespace="8fa655a4-476d-4fb1-8864-62d4507a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55a4-476d-4fb1-8864-62d4507a3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5262F-239F-413C-8586-CC17613DD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655a4-476d-4fb1-8864-62d4507a3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ABAB9F-C723-47EF-B3D7-E4930A4192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8BF731-954E-401B-87CA-F87A595FB98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Sanjay K Pathak</cp:lastModifiedBy>
  <dcterms:created xsi:type="dcterms:W3CDTF">2016-07-06T08:22:49Z</dcterms:created>
  <dcterms:modified xsi:type="dcterms:W3CDTF">2026-06-26T14:42:56Z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0x0101000444A8567DDFEB48985DDA43B351EB95</vt:lpwstr>
  </property>
</Properties>
</file>