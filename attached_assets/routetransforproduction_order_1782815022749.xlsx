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aily Working Folder\replit and react ap\d365fo\"/>
    </mc:Choice>
  </mc:AlternateContent>
  <xr:revisionPtr revIDLastSave="0" documentId="13_ncr:1_{0D4064D7-2CC2-4585-9D74-31C4DE37EA4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3" i="1" l="1"/>
  <c r="I38" i="1"/>
  <c r="I43" i="1" s="1"/>
  <c r="K43" i="1"/>
  <c r="F43" i="1"/>
  <c r="H43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tc={36C41EF7-8685-4C52-8BF0-E1D75F3B168D}</author>
  </authors>
  <commentList>
    <comment ref="I1" authorId="0" shapeId="0" xr:uid="{36C41EF7-8685-4C52-8BF0-E1D75F3B168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Registeredhours
</t>
      </text>
    </comment>
  </commentList>
</comments>
</file>

<file path=xl/sharedStrings.xml><?xml version="1.0" encoding="utf-8"?>
<sst xmlns="http://schemas.openxmlformats.org/spreadsheetml/2006/main" count="358" uniqueCount="54">
  <si>
    <t>Physical date</t>
  </si>
  <si>
    <t>Reference</t>
  </si>
  <si>
    <t>Number</t>
  </si>
  <si>
    <t>Name</t>
  </si>
  <si>
    <t>Operation</t>
  </si>
  <si>
    <t>Type</t>
  </si>
  <si>
    <t>Quantity/Time</t>
  </si>
  <si>
    <t>Category</t>
  </si>
  <si>
    <t>Oper. No.</t>
  </si>
  <si>
    <t>Operation2</t>
  </si>
  <si>
    <t>Name2</t>
  </si>
  <si>
    <t>Worker</t>
  </si>
  <si>
    <t>Production order</t>
  </si>
  <si>
    <t>364091</t>
  </si>
  <si>
    <t>Model 600SL, Hydraulic Lever</t>
  </si>
  <si>
    <t>AB1</t>
  </si>
  <si>
    <t>Time</t>
  </si>
  <si>
    <t>L_Assembly</t>
  </si>
  <si>
    <t>Pittman, Frank</t>
  </si>
  <si>
    <t>174</t>
  </si>
  <si>
    <t>FPS1</t>
  </si>
  <si>
    <t>Redstreake, John</t>
  </si>
  <si>
    <t>152</t>
  </si>
  <si>
    <t>DA1</t>
  </si>
  <si>
    <t>ELW1</t>
  </si>
  <si>
    <t>L_Wire</t>
  </si>
  <si>
    <t>Weir, Steve</t>
  </si>
  <si>
    <t>26</t>
  </si>
  <si>
    <t>Paint1</t>
  </si>
  <si>
    <t>L_Paint</t>
  </si>
  <si>
    <t>Boyle, Ryan</t>
  </si>
  <si>
    <t>US-923</t>
  </si>
  <si>
    <t>Quinones, Daniel</t>
  </si>
  <si>
    <t>US-193</t>
  </si>
  <si>
    <t>Start post</t>
  </si>
  <si>
    <t>End Post</t>
  </si>
  <si>
    <t>Flow Time</t>
  </si>
  <si>
    <t>Active days</t>
  </si>
  <si>
    <t>Continuity</t>
  </si>
  <si>
    <t>Delivery</t>
  </si>
  <si>
    <t>Status</t>
  </si>
  <si>
    <t>Days</t>
  </si>
  <si>
    <t>BUILD</t>
  </si>
  <si>
    <t>6/22/2026</t>
  </si>
  <si>
    <t>5/7/2026</t>
  </si>
  <si>
    <t>Route Total</t>
  </si>
  <si>
    <t>Production order number</t>
  </si>
  <si>
    <t>Production Operation</t>
  </si>
  <si>
    <t>Column1</t>
  </si>
  <si>
    <t>Production Group</t>
  </si>
  <si>
    <t>Assy02</t>
  </si>
  <si>
    <t>Startpost</t>
  </si>
  <si>
    <t>Column2</t>
  </si>
  <si>
    <t>Hours(total registeredhours  posted divided by total processtime for standard route of production order)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</si>
</sst>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6">
    <xf numFmtId="0" fontId="0" fillId="0" borderId="0" xfId="0"/>
    <xf numFmtId="14" fontId="0" fillId="0" borderId="0" xfId="0" applyNumberFormat="1" applyAlignment="1">
      <alignment horizontal="left"/>
    </xf>
    <xf numFmtId="49" fontId="0" fillId="0" borderId="0" xfId="0" applyNumberFormat="1" applyAlignment="1">
      <alignment horizontal="left"/>
    </xf>
    <xf numFmtId="4" fontId="0" fillId="0" borderId="0" xfId="0" applyNumberFormat="1" applyAlignment="1">
      <alignment horizontal="left"/>
    </xf>
    <xf numFmtId="3" fontId="0" fillId="0" borderId="0" xfId="0" applyNumberFormat="1" applyAlignment="1">
      <alignment horizontal="right"/>
    </xf>
    <xf numFmtId="49" fontId="2" fillId="0" borderId="0" xfId="0" applyNumberFormat="1" applyFont="1" applyAlignment="1">
      <alignment horizontal="left"/>
    </xf>
    <xf numFmtId="4" fontId="2" fillId="0" borderId="0" xfId="0" applyNumberFormat="1" applyFont="1" applyAlignment="1">
      <alignment horizontal="right" vertical="center"/>
    </xf>
    <xf numFmtId="14" fontId="2" fillId="0" borderId="0" xfId="0" applyNumberFormat="1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4" fontId="2" fillId="0" borderId="0" xfId="0" applyNumberFormat="1" applyFont="1" applyAlignment="1">
      <alignment horizontal="right" vertical="center" wrapText="1"/>
    </xf>
    <xf numFmtId="3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2" fontId="0" fillId="0" borderId="0" xfId="1" applyNumberFormat="1" applyFont="1" applyAlignment="1">
      <alignment horizontal="left"/>
    </xf>
    <xf numFmtId="4" fontId="2" fillId="0" borderId="0" xfId="0" applyNumberFormat="1" applyFont="1" applyAlignment="1">
      <alignment horizontal="left"/>
    </xf>
    <xf numFmtId="14" fontId="0" fillId="0" borderId="0" xfId="0" applyNumberFormat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9" fontId="0" fillId="0" borderId="0" xfId="1" applyFon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left" vertical="center" indent="1"/>
    </xf>
    <xf numFmtId="49" fontId="2" fillId="0" borderId="0" xfId="0" applyNumberFormat="1" applyFont="1" applyAlignment="1">
      <alignment horizontal="left" vertical="center" wrapText="1" indent="1"/>
    </xf>
    <xf numFmtId="49" fontId="0" fillId="0" borderId="2" xfId="0" applyNumberFormat="1" applyFont="1" applyBorder="1" applyAlignment="1">
      <alignment horizontal="left"/>
    </xf>
    <xf numFmtId="14" fontId="0" fillId="0" borderId="0" xfId="0" applyNumberFormat="1"/>
    <xf numFmtId="0" fontId="0" fillId="0" borderId="0" xfId="0" applyAlignment="1">
      <alignment horizontal="left"/>
    </xf>
  </cellXfs>
  <cellStyles count="2">
    <cellStyle name="Normal" xfId="0" builtinId="0"/>
    <cellStyle name="Percent" xfId="1" builtinId="5"/>
  </cellStyles>
  <dxfs count="17">
    <dxf>
      <numFmt numFmtId="19" formatCode="m/d/yyyy"/>
    </dxf>
    <dxf>
      <alignment horizontal="left" vertical="bottom" textRotation="0" wrapText="0" indent="0" justifyLastLine="0" shrinkToFit="0" readingOrder="0"/>
    </dxf>
    <dxf>
      <numFmt numFmtId="19" formatCode="m/d/yyyy"/>
      <alignment horizontal="left" vertical="bottom" textRotation="0" wrapText="0" indent="0" justifyLastLine="0" shrinkToFit="0" readingOrder="0"/>
    </dxf>
    <dxf>
      <numFmt numFmtId="19" formatCode="m/d/yyyy"/>
      <alignment horizontal="left" vertical="bottom" textRotation="0" wrapText="0" indent="0" justifyLastLine="0" shrinkToFit="0" readingOrder="0"/>
    </dxf>
    <dxf>
      <font>
        <b/>
        <i val="0"/>
        <color rgb="FFFFFFFF"/>
      </font>
      <fill>
        <patternFill patternType="solid">
          <fgColor indexed="64"/>
          <bgColor rgb="FFFF0000"/>
        </patternFill>
      </fill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4" formatCode="#,##0.00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19" formatCode="m/d/yyyy"/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anjay K Pathak" id="{273873FA-680C-4998-92F9-E84D1003FA39}" userId="S::SPathak@tiniusolsen.com::c5c78784-2c9f-42a9-898a-35c1c45893b1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xTable1" displayName="AxTable1" ref="B1:O38" totalsRowCount="1">
  <autoFilter ref="B1:O37" xr:uid="{00000000-0009-0000-0100-000001000000}"/>
  <sortState xmlns:xlrd2="http://schemas.microsoft.com/office/spreadsheetml/2017/richdata2" ref="B2:N37">
    <sortCondition ref="B1:B37"/>
  </sortState>
  <tableColumns count="14">
    <tableColumn id="1" xr3:uid="{00000000-0010-0000-0000-000001000000}" name="Physical date" totalsRowDxfId="16"/>
    <tableColumn id="2" xr3:uid="{C0493FDD-55ED-46DC-8F7F-6993017F417F}" name="Column1" dataDxfId="2" totalsRowDxfId="3"/>
    <tableColumn id="3" xr3:uid="{00000000-0010-0000-0000-000003000000}" name="Reference" totalsRowDxfId="15"/>
    <tableColumn id="4" xr3:uid="{00000000-0010-0000-0000-000004000000}" name="Number" totalsRowDxfId="14"/>
    <tableColumn id="5" xr3:uid="{00000000-0010-0000-0000-000005000000}" name="Name" totalsRowDxfId="13"/>
    <tableColumn id="6" xr3:uid="{00000000-0010-0000-0000-000006000000}" name="Operation" totalsRowDxfId="12"/>
    <tableColumn id="7" xr3:uid="{00000000-0010-0000-0000-000007000000}" name="Type" totalsRowDxfId="11"/>
    <tableColumn id="8" xr3:uid="{00000000-0010-0000-0000-000008000000}" name="Quantity/Time" totalsRowFunction="custom" totalsRowDxfId="10">
      <totalsRowFormula>SUM(I2:I37)</totalsRowFormula>
    </tableColumn>
    <tableColumn id="10" xr3:uid="{00000000-0010-0000-0000-00000A000000}" name="Category" totalsRowDxfId="9"/>
    <tableColumn id="11" xr3:uid="{00000000-0010-0000-0000-00000B000000}" name="Oper. No." totalsRowDxfId="8"/>
    <tableColumn id="12" xr3:uid="{00000000-0010-0000-0000-00000C000000}" name="Operation2" totalsRowDxfId="7"/>
    <tableColumn id="13" xr3:uid="{00000000-0010-0000-0000-00000D000000}" name="Name2" totalsRowDxfId="6"/>
    <tableColumn id="14" xr3:uid="{00000000-0010-0000-0000-00000E000000}" name="Worker" totalsRowDxfId="5"/>
    <tableColumn id="9" xr3:uid="{6D177787-AE38-4421-A58B-7274EA75CEE4}" name="Column2" dataDxfId="0" totalsRow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1" dT="2026-06-30T10:22:18.04" personId="{273873FA-680C-4998-92F9-E84D1003FA39}" id="{36C41EF7-8685-4C52-8BF0-E1D75F3B168D}">
    <text xml:space="preserve">Registeredhours
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bf35f8c-6b0c-459c-8030-6fead61a608e}">
  <we:reference id="WA200006575" version="1.0.0.5" store="en-US" storeType="OMEX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5"/>
  <sheetViews>
    <sheetView tabSelected="1" workbookViewId="0">
      <selection activeCell="J18" sqref="J18"/>
    </sheetView>
  </sheetViews>
  <sheetFormatPr defaultRowHeight="14.4" x14ac:dyDescent="0.3"/>
  <cols>
    <col min="2" max="2" width="17" style="1"/>
    <col min="3" max="3" width="8.88671875" style="1"/>
    <col min="4" max="4" width="15.44140625" style="1" customWidth="1"/>
    <col min="5" max="5" width="11.5546875" style="2" customWidth="1"/>
    <col min="6" max="6" width="28.44140625" style="2" customWidth="1"/>
    <col min="7" max="7" width="11.88671875" style="2" bestFit="1" customWidth="1"/>
    <col min="8" max="8" width="13" style="2"/>
    <col min="9" max="9" width="9.5546875" style="2" customWidth="1"/>
    <col min="10" max="10" width="17" style="3"/>
    <col min="11" max="11" width="10" style="3"/>
    <col min="12" max="12" width="12" style="2"/>
    <col min="13" max="13" width="13" style="4"/>
    <col min="14" max="14" width="14" style="2"/>
    <col min="15" max="15" width="9" style="2"/>
    <col min="16" max="16" width="21" style="2"/>
  </cols>
  <sheetData>
    <row r="1" spans="1:16" x14ac:dyDescent="0.3">
      <c r="B1" t="s">
        <v>0</v>
      </c>
      <c r="C1" t="s">
        <v>48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52</v>
      </c>
      <c r="P1"/>
    </row>
    <row r="2" spans="1:16" x14ac:dyDescent="0.3">
      <c r="A2" t="s">
        <v>51</v>
      </c>
      <c r="B2" s="1">
        <v>46094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3">
        <v>8</v>
      </c>
      <c r="J2" s="2" t="s">
        <v>17</v>
      </c>
      <c r="K2" s="4">
        <v>20</v>
      </c>
      <c r="L2" s="2" t="s">
        <v>15</v>
      </c>
      <c r="M2" s="2" t="s">
        <v>21</v>
      </c>
      <c r="N2" s="2" t="s">
        <v>22</v>
      </c>
      <c r="O2" s="24">
        <v>46094</v>
      </c>
      <c r="P2"/>
    </row>
    <row r="3" spans="1:16" x14ac:dyDescent="0.3">
      <c r="B3" s="1">
        <v>46097</v>
      </c>
      <c r="D3" s="2" t="s">
        <v>12</v>
      </c>
      <c r="E3" s="2" t="s">
        <v>13</v>
      </c>
      <c r="F3" s="2" t="s">
        <v>14</v>
      </c>
      <c r="G3" s="2" t="s">
        <v>15</v>
      </c>
      <c r="H3" s="2" t="s">
        <v>16</v>
      </c>
      <c r="I3" s="3">
        <v>3</v>
      </c>
      <c r="J3" s="2" t="s">
        <v>17</v>
      </c>
      <c r="K3" s="4">
        <v>20</v>
      </c>
      <c r="L3" s="2" t="s">
        <v>15</v>
      </c>
      <c r="M3" s="2" t="s">
        <v>21</v>
      </c>
      <c r="N3" s="2" t="s">
        <v>22</v>
      </c>
      <c r="O3" s="24">
        <v>46097</v>
      </c>
      <c r="P3"/>
    </row>
    <row r="4" spans="1:16" x14ac:dyDescent="0.3">
      <c r="B4" s="1">
        <v>46097</v>
      </c>
      <c r="D4" s="2" t="s">
        <v>12</v>
      </c>
      <c r="E4" s="2" t="s">
        <v>13</v>
      </c>
      <c r="F4" s="2" t="s">
        <v>14</v>
      </c>
      <c r="G4" s="2" t="s">
        <v>15</v>
      </c>
      <c r="H4" s="2" t="s">
        <v>16</v>
      </c>
      <c r="I4" s="3">
        <v>2.5</v>
      </c>
      <c r="J4" s="2" t="s">
        <v>17</v>
      </c>
      <c r="K4" s="4">
        <v>20</v>
      </c>
      <c r="L4" s="2" t="s">
        <v>15</v>
      </c>
      <c r="M4" s="2" t="s">
        <v>21</v>
      </c>
      <c r="N4" s="2" t="s">
        <v>22</v>
      </c>
      <c r="O4" s="24">
        <v>46097</v>
      </c>
      <c r="P4"/>
    </row>
    <row r="5" spans="1:16" x14ac:dyDescent="0.3">
      <c r="B5" s="1">
        <v>46098</v>
      </c>
      <c r="D5" s="2" t="s">
        <v>12</v>
      </c>
      <c r="E5" s="2" t="s">
        <v>13</v>
      </c>
      <c r="F5" s="2" t="s">
        <v>14</v>
      </c>
      <c r="G5" s="2" t="s">
        <v>15</v>
      </c>
      <c r="H5" s="2" t="s">
        <v>16</v>
      </c>
      <c r="I5" s="3">
        <v>4</v>
      </c>
      <c r="J5" s="2" t="s">
        <v>17</v>
      </c>
      <c r="K5" s="4">
        <v>20</v>
      </c>
      <c r="L5" s="2" t="s">
        <v>15</v>
      </c>
      <c r="M5" s="2" t="s">
        <v>21</v>
      </c>
      <c r="N5" s="2" t="s">
        <v>22</v>
      </c>
      <c r="O5" s="24">
        <v>46098</v>
      </c>
      <c r="P5"/>
    </row>
    <row r="6" spans="1:16" x14ac:dyDescent="0.3">
      <c r="B6" s="1">
        <v>46099</v>
      </c>
      <c r="D6" s="2" t="s">
        <v>12</v>
      </c>
      <c r="E6" s="2" t="s">
        <v>13</v>
      </c>
      <c r="F6" s="2" t="s">
        <v>14</v>
      </c>
      <c r="G6" s="2" t="s">
        <v>15</v>
      </c>
      <c r="H6" s="2" t="s">
        <v>16</v>
      </c>
      <c r="I6" s="3">
        <v>8</v>
      </c>
      <c r="J6" s="2" t="s">
        <v>17</v>
      </c>
      <c r="K6" s="4">
        <v>20</v>
      </c>
      <c r="L6" s="2" t="s">
        <v>15</v>
      </c>
      <c r="M6" s="2" t="s">
        <v>21</v>
      </c>
      <c r="N6" s="2" t="s">
        <v>22</v>
      </c>
      <c r="O6" s="24">
        <v>46099</v>
      </c>
      <c r="P6"/>
    </row>
    <row r="7" spans="1:16" x14ac:dyDescent="0.3">
      <c r="B7" s="1">
        <v>46100</v>
      </c>
      <c r="D7" s="2" t="s">
        <v>12</v>
      </c>
      <c r="E7" s="2" t="s">
        <v>13</v>
      </c>
      <c r="F7" s="2" t="s">
        <v>14</v>
      </c>
      <c r="G7" s="2" t="s">
        <v>15</v>
      </c>
      <c r="H7" s="2" t="s">
        <v>16</v>
      </c>
      <c r="I7" s="3">
        <v>8</v>
      </c>
      <c r="J7" s="2" t="s">
        <v>17</v>
      </c>
      <c r="K7" s="4">
        <v>20</v>
      </c>
      <c r="L7" s="2" t="s">
        <v>15</v>
      </c>
      <c r="M7" s="2" t="s">
        <v>21</v>
      </c>
      <c r="N7" s="2" t="s">
        <v>22</v>
      </c>
      <c r="O7" s="24">
        <v>46100</v>
      </c>
      <c r="P7"/>
    </row>
    <row r="8" spans="1:16" x14ac:dyDescent="0.3">
      <c r="B8" s="1">
        <v>46101</v>
      </c>
      <c r="D8" s="2" t="s">
        <v>12</v>
      </c>
      <c r="E8" s="2" t="s">
        <v>13</v>
      </c>
      <c r="F8" s="2" t="s">
        <v>14</v>
      </c>
      <c r="G8" s="2" t="s">
        <v>15</v>
      </c>
      <c r="H8" s="2" t="s">
        <v>16</v>
      </c>
      <c r="I8" s="3">
        <v>1.5</v>
      </c>
      <c r="J8" s="2" t="s">
        <v>17</v>
      </c>
      <c r="K8" s="4">
        <v>20</v>
      </c>
      <c r="L8" s="2" t="s">
        <v>15</v>
      </c>
      <c r="M8" s="2" t="s">
        <v>21</v>
      </c>
      <c r="N8" s="2" t="s">
        <v>22</v>
      </c>
      <c r="O8" s="24">
        <v>46101</v>
      </c>
      <c r="P8"/>
    </row>
    <row r="9" spans="1:16" x14ac:dyDescent="0.3">
      <c r="B9" s="1">
        <v>46104</v>
      </c>
      <c r="D9" s="2" t="s">
        <v>12</v>
      </c>
      <c r="E9" s="2" t="s">
        <v>13</v>
      </c>
      <c r="F9" s="2" t="s">
        <v>14</v>
      </c>
      <c r="G9" s="2" t="s">
        <v>15</v>
      </c>
      <c r="H9" s="2" t="s">
        <v>16</v>
      </c>
      <c r="I9" s="3">
        <v>8</v>
      </c>
      <c r="J9" s="2" t="s">
        <v>17</v>
      </c>
      <c r="K9" s="4">
        <v>20</v>
      </c>
      <c r="L9" s="2" t="s">
        <v>15</v>
      </c>
      <c r="M9" s="2" t="s">
        <v>21</v>
      </c>
      <c r="N9" s="2" t="s">
        <v>22</v>
      </c>
      <c r="O9" s="24">
        <v>46104</v>
      </c>
      <c r="P9"/>
    </row>
    <row r="10" spans="1:16" x14ac:dyDescent="0.3">
      <c r="B10" s="1">
        <v>46105</v>
      </c>
      <c r="D10" s="2" t="s">
        <v>12</v>
      </c>
      <c r="E10" s="2" t="s">
        <v>13</v>
      </c>
      <c r="F10" s="2" t="s">
        <v>14</v>
      </c>
      <c r="G10" s="2" t="s">
        <v>15</v>
      </c>
      <c r="H10" s="2" t="s">
        <v>16</v>
      </c>
      <c r="I10" s="3">
        <v>5.5</v>
      </c>
      <c r="J10" s="2" t="s">
        <v>17</v>
      </c>
      <c r="K10" s="4">
        <v>20</v>
      </c>
      <c r="L10" s="2" t="s">
        <v>15</v>
      </c>
      <c r="M10" s="2" t="s">
        <v>21</v>
      </c>
      <c r="N10" s="2" t="s">
        <v>22</v>
      </c>
      <c r="O10" s="24">
        <v>46105</v>
      </c>
      <c r="P10"/>
    </row>
    <row r="11" spans="1:16" x14ac:dyDescent="0.3">
      <c r="B11" s="1">
        <v>46106</v>
      </c>
      <c r="D11" s="2" t="s">
        <v>12</v>
      </c>
      <c r="E11" s="2" t="s">
        <v>13</v>
      </c>
      <c r="F11" s="2" t="s">
        <v>14</v>
      </c>
      <c r="G11" s="2" t="s">
        <v>15</v>
      </c>
      <c r="H11" s="2" t="s">
        <v>16</v>
      </c>
      <c r="I11" s="3">
        <v>2</v>
      </c>
      <c r="J11" s="2" t="s">
        <v>17</v>
      </c>
      <c r="K11" s="4">
        <v>20</v>
      </c>
      <c r="L11" s="2" t="s">
        <v>15</v>
      </c>
      <c r="M11" s="2" t="s">
        <v>21</v>
      </c>
      <c r="N11" s="2" t="s">
        <v>22</v>
      </c>
      <c r="O11" s="24">
        <v>46106</v>
      </c>
      <c r="P11"/>
    </row>
    <row r="12" spans="1:16" x14ac:dyDescent="0.3">
      <c r="B12" s="1">
        <v>46107</v>
      </c>
      <c r="D12" s="2" t="s">
        <v>12</v>
      </c>
      <c r="E12" s="2" t="s">
        <v>13</v>
      </c>
      <c r="F12" s="2" t="s">
        <v>14</v>
      </c>
      <c r="G12" s="2" t="s">
        <v>24</v>
      </c>
      <c r="H12" s="2" t="s">
        <v>16</v>
      </c>
      <c r="I12" s="3">
        <v>4</v>
      </c>
      <c r="J12" s="2" t="s">
        <v>25</v>
      </c>
      <c r="K12" s="4">
        <v>30</v>
      </c>
      <c r="L12" s="2" t="s">
        <v>24</v>
      </c>
      <c r="M12" s="2" t="s">
        <v>32</v>
      </c>
      <c r="N12" s="2" t="s">
        <v>33</v>
      </c>
      <c r="O12" s="24">
        <v>46107</v>
      </c>
      <c r="P12"/>
    </row>
    <row r="13" spans="1:16" x14ac:dyDescent="0.3">
      <c r="B13" s="1">
        <v>46107</v>
      </c>
      <c r="D13" s="2" t="s">
        <v>12</v>
      </c>
      <c r="E13" s="2" t="s">
        <v>13</v>
      </c>
      <c r="F13" s="2" t="s">
        <v>14</v>
      </c>
      <c r="G13" s="2" t="s">
        <v>15</v>
      </c>
      <c r="H13" s="2" t="s">
        <v>16</v>
      </c>
      <c r="I13" s="3">
        <v>2</v>
      </c>
      <c r="J13" s="2" t="s">
        <v>17</v>
      </c>
      <c r="K13" s="4">
        <v>20</v>
      </c>
      <c r="L13" s="2" t="s">
        <v>15</v>
      </c>
      <c r="M13" s="2" t="s">
        <v>21</v>
      </c>
      <c r="N13" s="2" t="s">
        <v>22</v>
      </c>
      <c r="O13" s="24">
        <v>46107</v>
      </c>
      <c r="P13"/>
    </row>
    <row r="14" spans="1:16" x14ac:dyDescent="0.3">
      <c r="B14" s="1">
        <v>46120</v>
      </c>
      <c r="D14" s="2" t="s">
        <v>12</v>
      </c>
      <c r="E14" s="2" t="s">
        <v>13</v>
      </c>
      <c r="F14" s="2" t="s">
        <v>14</v>
      </c>
      <c r="G14" s="2" t="s">
        <v>15</v>
      </c>
      <c r="H14" s="2" t="s">
        <v>16</v>
      </c>
      <c r="I14" s="3">
        <v>3.5</v>
      </c>
      <c r="J14" s="2" t="s">
        <v>17</v>
      </c>
      <c r="K14" s="4">
        <v>20</v>
      </c>
      <c r="L14" s="2" t="s">
        <v>15</v>
      </c>
      <c r="M14" s="2" t="s">
        <v>21</v>
      </c>
      <c r="N14" s="2" t="s">
        <v>22</v>
      </c>
      <c r="O14" s="24">
        <v>46120</v>
      </c>
      <c r="P14"/>
    </row>
    <row r="15" spans="1:16" x14ac:dyDescent="0.3">
      <c r="B15" s="1">
        <v>46121</v>
      </c>
      <c r="D15" s="2" t="s">
        <v>12</v>
      </c>
      <c r="E15" s="2" t="s">
        <v>13</v>
      </c>
      <c r="F15" s="2" t="s">
        <v>14</v>
      </c>
      <c r="G15" s="2" t="s">
        <v>28</v>
      </c>
      <c r="H15" s="2" t="s">
        <v>16</v>
      </c>
      <c r="I15" s="3">
        <v>3.5</v>
      </c>
      <c r="J15" s="2" t="s">
        <v>29</v>
      </c>
      <c r="K15" s="4">
        <v>70</v>
      </c>
      <c r="L15" s="2" t="s">
        <v>28</v>
      </c>
      <c r="M15" s="2" t="s">
        <v>30</v>
      </c>
      <c r="N15" s="2" t="s">
        <v>31</v>
      </c>
      <c r="O15" s="24">
        <v>46121</v>
      </c>
      <c r="P15"/>
    </row>
    <row r="16" spans="1:16" x14ac:dyDescent="0.3">
      <c r="B16" s="1">
        <v>46125</v>
      </c>
      <c r="D16" s="2" t="s">
        <v>12</v>
      </c>
      <c r="E16" s="2" t="s">
        <v>13</v>
      </c>
      <c r="F16" s="2" t="s">
        <v>14</v>
      </c>
      <c r="G16" s="2" t="s">
        <v>28</v>
      </c>
      <c r="H16" s="2" t="s">
        <v>16</v>
      </c>
      <c r="I16" s="3">
        <v>3</v>
      </c>
      <c r="J16" s="2" t="s">
        <v>29</v>
      </c>
      <c r="K16" s="4">
        <v>70</v>
      </c>
      <c r="L16" s="2" t="s">
        <v>28</v>
      </c>
      <c r="M16" s="2" t="s">
        <v>30</v>
      </c>
      <c r="N16" s="2" t="s">
        <v>31</v>
      </c>
      <c r="O16" s="24">
        <v>46125</v>
      </c>
      <c r="P16"/>
    </row>
    <row r="17" spans="2:16" x14ac:dyDescent="0.3">
      <c r="B17" s="1">
        <v>46126</v>
      </c>
      <c r="D17" s="2" t="s">
        <v>12</v>
      </c>
      <c r="E17" s="2" t="s">
        <v>13</v>
      </c>
      <c r="F17" s="2" t="s">
        <v>14</v>
      </c>
      <c r="G17" s="2" t="s">
        <v>28</v>
      </c>
      <c r="H17" s="2" t="s">
        <v>16</v>
      </c>
      <c r="I17" s="3">
        <v>2</v>
      </c>
      <c r="J17" s="2" t="s">
        <v>29</v>
      </c>
      <c r="K17" s="4">
        <v>70</v>
      </c>
      <c r="L17" s="2" t="s">
        <v>28</v>
      </c>
      <c r="M17" s="2" t="s">
        <v>30</v>
      </c>
      <c r="N17" s="2" t="s">
        <v>31</v>
      </c>
      <c r="O17" s="24">
        <v>46126</v>
      </c>
      <c r="P17"/>
    </row>
    <row r="18" spans="2:16" x14ac:dyDescent="0.3">
      <c r="B18" s="1">
        <v>46146</v>
      </c>
      <c r="D18" s="2" t="s">
        <v>12</v>
      </c>
      <c r="E18" s="2" t="s">
        <v>13</v>
      </c>
      <c r="F18" s="2" t="s">
        <v>14</v>
      </c>
      <c r="G18" s="2" t="s">
        <v>15</v>
      </c>
      <c r="H18" s="2" t="s">
        <v>16</v>
      </c>
      <c r="I18" s="3">
        <v>5</v>
      </c>
      <c r="J18" s="2" t="s">
        <v>17</v>
      </c>
      <c r="K18" s="4">
        <v>20</v>
      </c>
      <c r="L18" s="2" t="s">
        <v>15</v>
      </c>
      <c r="M18" s="2" t="s">
        <v>21</v>
      </c>
      <c r="N18" s="2" t="s">
        <v>22</v>
      </c>
      <c r="O18" s="24">
        <v>46146</v>
      </c>
      <c r="P18"/>
    </row>
    <row r="19" spans="2:16" x14ac:dyDescent="0.3">
      <c r="B19" s="1">
        <v>46153</v>
      </c>
      <c r="D19" s="2" t="s">
        <v>12</v>
      </c>
      <c r="E19" s="2" t="s">
        <v>13</v>
      </c>
      <c r="F19" s="2" t="s">
        <v>14</v>
      </c>
      <c r="G19" s="2" t="s">
        <v>15</v>
      </c>
      <c r="H19" s="2" t="s">
        <v>16</v>
      </c>
      <c r="I19" s="3">
        <v>2</v>
      </c>
      <c r="J19" s="2" t="s">
        <v>17</v>
      </c>
      <c r="K19" s="4">
        <v>20</v>
      </c>
      <c r="L19" s="2" t="s">
        <v>15</v>
      </c>
      <c r="M19" s="2" t="s">
        <v>21</v>
      </c>
      <c r="N19" s="2" t="s">
        <v>22</v>
      </c>
      <c r="O19" s="24">
        <v>46153</v>
      </c>
      <c r="P19"/>
    </row>
    <row r="20" spans="2:16" x14ac:dyDescent="0.3">
      <c r="B20" s="1">
        <v>46154</v>
      </c>
      <c r="D20" s="2" t="s">
        <v>12</v>
      </c>
      <c r="E20" s="2" t="s">
        <v>13</v>
      </c>
      <c r="F20" s="2" t="s">
        <v>14</v>
      </c>
      <c r="G20" s="2" t="s">
        <v>28</v>
      </c>
      <c r="H20" s="2" t="s">
        <v>16</v>
      </c>
      <c r="I20" s="3">
        <v>4</v>
      </c>
      <c r="J20" s="2" t="s">
        <v>29</v>
      </c>
      <c r="K20" s="4">
        <v>70</v>
      </c>
      <c r="L20" s="2" t="s">
        <v>28</v>
      </c>
      <c r="M20" s="2" t="s">
        <v>30</v>
      </c>
      <c r="N20" s="2" t="s">
        <v>31</v>
      </c>
      <c r="O20" s="24">
        <v>46154</v>
      </c>
      <c r="P20"/>
    </row>
    <row r="21" spans="2:16" x14ac:dyDescent="0.3">
      <c r="B21" s="1">
        <v>46154</v>
      </c>
      <c r="D21" s="2" t="s">
        <v>12</v>
      </c>
      <c r="E21" s="2" t="s">
        <v>13</v>
      </c>
      <c r="F21" s="2" t="s">
        <v>14</v>
      </c>
      <c r="G21" s="2" t="s">
        <v>15</v>
      </c>
      <c r="H21" s="2" t="s">
        <v>16</v>
      </c>
      <c r="I21" s="3">
        <v>8</v>
      </c>
      <c r="J21" s="2" t="s">
        <v>17</v>
      </c>
      <c r="K21" s="4">
        <v>20</v>
      </c>
      <c r="L21" s="2" t="s">
        <v>15</v>
      </c>
      <c r="M21" s="2" t="s">
        <v>21</v>
      </c>
      <c r="N21" s="2" t="s">
        <v>22</v>
      </c>
      <c r="O21" s="24">
        <v>46154</v>
      </c>
      <c r="P21"/>
    </row>
    <row r="22" spans="2:16" x14ac:dyDescent="0.3">
      <c r="B22" s="1">
        <v>46155</v>
      </c>
      <c r="D22" s="2" t="s">
        <v>12</v>
      </c>
      <c r="E22" s="2" t="s">
        <v>13</v>
      </c>
      <c r="F22" s="2" t="s">
        <v>14</v>
      </c>
      <c r="G22" s="2" t="s">
        <v>15</v>
      </c>
      <c r="H22" s="2" t="s">
        <v>16</v>
      </c>
      <c r="I22" s="3">
        <v>8</v>
      </c>
      <c r="J22" s="2" t="s">
        <v>17</v>
      </c>
      <c r="K22" s="4">
        <v>20</v>
      </c>
      <c r="L22" s="2" t="s">
        <v>15</v>
      </c>
      <c r="M22" s="2" t="s">
        <v>21</v>
      </c>
      <c r="N22" s="2" t="s">
        <v>22</v>
      </c>
      <c r="O22" s="24">
        <v>46155</v>
      </c>
      <c r="P22"/>
    </row>
    <row r="23" spans="2:16" x14ac:dyDescent="0.3">
      <c r="B23" s="1">
        <v>46156</v>
      </c>
      <c r="D23" s="2" t="s">
        <v>12</v>
      </c>
      <c r="E23" s="2" t="s">
        <v>13</v>
      </c>
      <c r="F23" s="2" t="s">
        <v>14</v>
      </c>
      <c r="G23" s="2" t="s">
        <v>15</v>
      </c>
      <c r="H23" s="2" t="s">
        <v>16</v>
      </c>
      <c r="I23" s="3">
        <v>8</v>
      </c>
      <c r="J23" s="2" t="s">
        <v>17</v>
      </c>
      <c r="K23" s="4">
        <v>20</v>
      </c>
      <c r="L23" s="2" t="s">
        <v>15</v>
      </c>
      <c r="M23" s="2" t="s">
        <v>21</v>
      </c>
      <c r="N23" s="2" t="s">
        <v>22</v>
      </c>
      <c r="O23" s="24">
        <v>46156</v>
      </c>
      <c r="P23"/>
    </row>
    <row r="24" spans="2:16" x14ac:dyDescent="0.3">
      <c r="B24" s="1">
        <v>46157</v>
      </c>
      <c r="D24" s="2" t="s">
        <v>12</v>
      </c>
      <c r="E24" s="2" t="s">
        <v>13</v>
      </c>
      <c r="F24" s="2" t="s">
        <v>14</v>
      </c>
      <c r="G24" s="2" t="s">
        <v>15</v>
      </c>
      <c r="H24" s="2" t="s">
        <v>16</v>
      </c>
      <c r="I24" s="3">
        <v>4</v>
      </c>
      <c r="J24" s="2" t="s">
        <v>17</v>
      </c>
      <c r="K24" s="4">
        <v>20</v>
      </c>
      <c r="L24" s="2" t="s">
        <v>15</v>
      </c>
      <c r="M24" s="2" t="s">
        <v>21</v>
      </c>
      <c r="N24" s="2" t="s">
        <v>22</v>
      </c>
      <c r="O24" s="24">
        <v>46157</v>
      </c>
      <c r="P24"/>
    </row>
    <row r="25" spans="2:16" x14ac:dyDescent="0.3">
      <c r="B25" s="1">
        <v>46160</v>
      </c>
      <c r="D25" s="2" t="s">
        <v>12</v>
      </c>
      <c r="E25" s="2" t="s">
        <v>13</v>
      </c>
      <c r="F25" s="2" t="s">
        <v>14</v>
      </c>
      <c r="G25" s="2" t="s">
        <v>15</v>
      </c>
      <c r="H25" s="2" t="s">
        <v>16</v>
      </c>
      <c r="I25" s="3">
        <v>3</v>
      </c>
      <c r="J25" s="2" t="s">
        <v>17</v>
      </c>
      <c r="K25" s="4">
        <v>20</v>
      </c>
      <c r="L25" s="2" t="s">
        <v>15</v>
      </c>
      <c r="M25" s="2" t="s">
        <v>21</v>
      </c>
      <c r="N25" s="2" t="s">
        <v>22</v>
      </c>
      <c r="O25" s="24">
        <v>46160</v>
      </c>
      <c r="P25"/>
    </row>
    <row r="26" spans="2:16" x14ac:dyDescent="0.3">
      <c r="B26" s="1">
        <v>46160</v>
      </c>
      <c r="D26" s="2" t="s">
        <v>12</v>
      </c>
      <c r="E26" s="2" t="s">
        <v>13</v>
      </c>
      <c r="F26" s="2" t="s">
        <v>14</v>
      </c>
      <c r="G26" s="2" t="s">
        <v>15</v>
      </c>
      <c r="H26" s="2" t="s">
        <v>16</v>
      </c>
      <c r="I26" s="3">
        <v>7.5</v>
      </c>
      <c r="J26" s="2" t="s">
        <v>17</v>
      </c>
      <c r="K26" s="4">
        <v>20</v>
      </c>
      <c r="L26" s="2" t="s">
        <v>15</v>
      </c>
      <c r="M26" s="2" t="s">
        <v>21</v>
      </c>
      <c r="N26" s="2" t="s">
        <v>22</v>
      </c>
      <c r="O26" s="24">
        <v>46160</v>
      </c>
      <c r="P26"/>
    </row>
    <row r="27" spans="2:16" x14ac:dyDescent="0.3">
      <c r="B27" s="1">
        <v>46162</v>
      </c>
      <c r="D27" s="2" t="s">
        <v>12</v>
      </c>
      <c r="E27" s="2" t="s">
        <v>13</v>
      </c>
      <c r="F27" s="2" t="s">
        <v>14</v>
      </c>
      <c r="G27" s="2" t="s">
        <v>15</v>
      </c>
      <c r="H27" s="2" t="s">
        <v>16</v>
      </c>
      <c r="I27" s="3">
        <v>8</v>
      </c>
      <c r="J27" s="2" t="s">
        <v>17</v>
      </c>
      <c r="K27" s="4">
        <v>20</v>
      </c>
      <c r="L27" s="2" t="s">
        <v>15</v>
      </c>
      <c r="M27" s="2" t="s">
        <v>21</v>
      </c>
      <c r="N27" s="2" t="s">
        <v>22</v>
      </c>
      <c r="O27" s="24">
        <v>46162</v>
      </c>
      <c r="P27"/>
    </row>
    <row r="28" spans="2:16" x14ac:dyDescent="0.3">
      <c r="B28" s="1">
        <v>46163</v>
      </c>
      <c r="D28" s="2" t="s">
        <v>12</v>
      </c>
      <c r="E28" s="2" t="s">
        <v>13</v>
      </c>
      <c r="F28" s="2" t="s">
        <v>14</v>
      </c>
      <c r="G28" s="2" t="s">
        <v>15</v>
      </c>
      <c r="H28" s="2" t="s">
        <v>16</v>
      </c>
      <c r="I28" s="3">
        <v>5</v>
      </c>
      <c r="J28" s="2" t="s">
        <v>17</v>
      </c>
      <c r="K28" s="4">
        <v>20</v>
      </c>
      <c r="L28" s="2" t="s">
        <v>15</v>
      </c>
      <c r="M28" s="2" t="s">
        <v>21</v>
      </c>
      <c r="N28" s="2" t="s">
        <v>22</v>
      </c>
      <c r="O28" s="24">
        <v>46163</v>
      </c>
      <c r="P28"/>
    </row>
    <row r="29" spans="2:16" x14ac:dyDescent="0.3">
      <c r="B29" s="1">
        <v>46163</v>
      </c>
      <c r="D29" s="2" t="s">
        <v>12</v>
      </c>
      <c r="E29" s="2" t="s">
        <v>13</v>
      </c>
      <c r="F29" s="2" t="s">
        <v>14</v>
      </c>
      <c r="G29" s="2" t="s">
        <v>24</v>
      </c>
      <c r="H29" s="2" t="s">
        <v>16</v>
      </c>
      <c r="I29" s="3">
        <v>8</v>
      </c>
      <c r="J29" s="2" t="s">
        <v>25</v>
      </c>
      <c r="K29" s="4">
        <v>30</v>
      </c>
      <c r="L29" s="2" t="s">
        <v>24</v>
      </c>
      <c r="M29" s="2" t="s">
        <v>26</v>
      </c>
      <c r="N29" s="2" t="s">
        <v>27</v>
      </c>
      <c r="O29" s="24">
        <v>46163</v>
      </c>
      <c r="P29"/>
    </row>
    <row r="30" spans="2:16" x14ac:dyDescent="0.3">
      <c r="B30" s="1">
        <v>46164</v>
      </c>
      <c r="D30" s="2" t="s">
        <v>12</v>
      </c>
      <c r="E30" s="2" t="s">
        <v>13</v>
      </c>
      <c r="F30" s="2" t="s">
        <v>14</v>
      </c>
      <c r="G30" s="2" t="s">
        <v>24</v>
      </c>
      <c r="H30" s="2" t="s">
        <v>16</v>
      </c>
      <c r="I30" s="3">
        <v>3</v>
      </c>
      <c r="J30" s="2" t="s">
        <v>25</v>
      </c>
      <c r="K30" s="4">
        <v>30</v>
      </c>
      <c r="L30" s="2" t="s">
        <v>24</v>
      </c>
      <c r="M30" s="2" t="s">
        <v>26</v>
      </c>
      <c r="N30" s="2" t="s">
        <v>27</v>
      </c>
      <c r="O30" s="24">
        <v>46164</v>
      </c>
      <c r="P30"/>
    </row>
    <row r="31" spans="2:16" x14ac:dyDescent="0.3">
      <c r="B31" s="1">
        <v>46168</v>
      </c>
      <c r="D31" s="2" t="s">
        <v>12</v>
      </c>
      <c r="E31" s="2" t="s">
        <v>13</v>
      </c>
      <c r="F31" s="2" t="s">
        <v>14</v>
      </c>
      <c r="G31" s="2" t="s">
        <v>24</v>
      </c>
      <c r="H31" s="2" t="s">
        <v>16</v>
      </c>
      <c r="I31" s="3">
        <v>2</v>
      </c>
      <c r="J31" s="2" t="s">
        <v>25</v>
      </c>
      <c r="K31" s="4">
        <v>30</v>
      </c>
      <c r="L31" s="2" t="s">
        <v>24</v>
      </c>
      <c r="M31" s="2" t="s">
        <v>26</v>
      </c>
      <c r="N31" s="2" t="s">
        <v>27</v>
      </c>
      <c r="O31" s="24">
        <v>46168</v>
      </c>
      <c r="P31"/>
    </row>
    <row r="32" spans="2:16" x14ac:dyDescent="0.3">
      <c r="B32" s="1">
        <v>46183</v>
      </c>
      <c r="D32" s="2" t="s">
        <v>12</v>
      </c>
      <c r="E32" s="2" t="s">
        <v>13</v>
      </c>
      <c r="F32" s="2" t="s">
        <v>14</v>
      </c>
      <c r="G32" s="2" t="s">
        <v>15</v>
      </c>
      <c r="H32" s="2" t="s">
        <v>16</v>
      </c>
      <c r="I32" s="3">
        <v>4</v>
      </c>
      <c r="J32" s="2" t="s">
        <v>17</v>
      </c>
      <c r="K32" s="4">
        <v>20</v>
      </c>
      <c r="L32" s="2" t="s">
        <v>15</v>
      </c>
      <c r="M32" s="2" t="s">
        <v>21</v>
      </c>
      <c r="N32" s="2" t="s">
        <v>22</v>
      </c>
      <c r="O32" s="24">
        <v>46183</v>
      </c>
      <c r="P32"/>
    </row>
    <row r="33" spans="1:17" x14ac:dyDescent="0.3">
      <c r="B33" s="1">
        <v>46184</v>
      </c>
      <c r="D33" s="2" t="s">
        <v>12</v>
      </c>
      <c r="E33" s="2" t="s">
        <v>13</v>
      </c>
      <c r="F33" s="2" t="s">
        <v>14</v>
      </c>
      <c r="G33" s="2" t="s">
        <v>15</v>
      </c>
      <c r="H33" s="2" t="s">
        <v>16</v>
      </c>
      <c r="I33" s="3">
        <v>6</v>
      </c>
      <c r="J33" s="2" t="s">
        <v>17</v>
      </c>
      <c r="K33" s="4">
        <v>20</v>
      </c>
      <c r="L33" s="2" t="s">
        <v>15</v>
      </c>
      <c r="M33" s="2" t="s">
        <v>21</v>
      </c>
      <c r="N33" s="2" t="s">
        <v>22</v>
      </c>
      <c r="O33" s="24">
        <v>46184</v>
      </c>
      <c r="P33"/>
    </row>
    <row r="34" spans="1:17" x14ac:dyDescent="0.3">
      <c r="B34" s="1">
        <v>46190</v>
      </c>
      <c r="D34" s="2" t="s">
        <v>12</v>
      </c>
      <c r="E34" s="2" t="s">
        <v>13</v>
      </c>
      <c r="F34" s="2" t="s">
        <v>14</v>
      </c>
      <c r="G34" s="2" t="s">
        <v>15</v>
      </c>
      <c r="H34" s="2" t="s">
        <v>16</v>
      </c>
      <c r="I34" s="3">
        <v>3</v>
      </c>
      <c r="J34" s="2" t="s">
        <v>17</v>
      </c>
      <c r="K34" s="4">
        <v>20</v>
      </c>
      <c r="L34" s="2" t="s">
        <v>15</v>
      </c>
      <c r="M34" s="2" t="s">
        <v>21</v>
      </c>
      <c r="N34" s="2" t="s">
        <v>22</v>
      </c>
      <c r="O34" s="24">
        <v>46190</v>
      </c>
      <c r="P34"/>
    </row>
    <row r="35" spans="1:17" x14ac:dyDescent="0.3">
      <c r="B35" s="1">
        <v>46192</v>
      </c>
      <c r="D35" s="2" t="s">
        <v>12</v>
      </c>
      <c r="E35" s="2" t="s">
        <v>13</v>
      </c>
      <c r="F35" s="2" t="s">
        <v>14</v>
      </c>
      <c r="G35" s="2" t="s">
        <v>23</v>
      </c>
      <c r="H35" s="2" t="s">
        <v>16</v>
      </c>
      <c r="I35" s="3">
        <v>5</v>
      </c>
      <c r="J35" s="2" t="s">
        <v>17</v>
      </c>
      <c r="K35" s="4">
        <v>60</v>
      </c>
      <c r="L35" s="2" t="s">
        <v>23</v>
      </c>
      <c r="M35" s="2" t="s">
        <v>21</v>
      </c>
      <c r="N35" s="2" t="s">
        <v>22</v>
      </c>
      <c r="O35" s="24">
        <v>46192</v>
      </c>
      <c r="P35"/>
    </row>
    <row r="36" spans="1:17" x14ac:dyDescent="0.3">
      <c r="B36" s="1">
        <v>46195</v>
      </c>
      <c r="D36" s="2" t="s">
        <v>12</v>
      </c>
      <c r="E36" s="2" t="s">
        <v>13</v>
      </c>
      <c r="F36" s="2" t="s">
        <v>14</v>
      </c>
      <c r="G36" s="2" t="s">
        <v>15</v>
      </c>
      <c r="H36" s="2" t="s">
        <v>16</v>
      </c>
      <c r="I36" s="3">
        <v>3</v>
      </c>
      <c r="J36" s="2" t="s">
        <v>17</v>
      </c>
      <c r="K36" s="4">
        <v>20</v>
      </c>
      <c r="L36" s="2" t="s">
        <v>15</v>
      </c>
      <c r="M36" s="2" t="s">
        <v>18</v>
      </c>
      <c r="N36" s="2" t="s">
        <v>19</v>
      </c>
      <c r="O36" s="24">
        <v>46195</v>
      </c>
      <c r="P36"/>
    </row>
    <row r="37" spans="1:17" x14ac:dyDescent="0.3">
      <c r="A37" t="s">
        <v>35</v>
      </c>
      <c r="B37" s="1">
        <v>46195</v>
      </c>
      <c r="D37" s="2" t="s">
        <v>12</v>
      </c>
      <c r="E37" s="2" t="s">
        <v>13</v>
      </c>
      <c r="F37" s="2" t="s">
        <v>14</v>
      </c>
      <c r="G37" s="2" t="s">
        <v>20</v>
      </c>
      <c r="H37" s="2" t="s">
        <v>16</v>
      </c>
      <c r="I37" s="3">
        <v>1.5</v>
      </c>
      <c r="J37" s="2" t="s">
        <v>17</v>
      </c>
      <c r="K37" s="4">
        <v>80</v>
      </c>
      <c r="L37" s="2" t="s">
        <v>20</v>
      </c>
      <c r="M37" s="2" t="s">
        <v>21</v>
      </c>
      <c r="N37" s="2" t="s">
        <v>22</v>
      </c>
      <c r="O37" s="24">
        <v>46195</v>
      </c>
      <c r="P37"/>
    </row>
    <row r="38" spans="1:17" x14ac:dyDescent="0.3">
      <c r="D38" s="2"/>
      <c r="I38" s="3">
        <f>SUM(I2:I37)</f>
        <v>166.5</v>
      </c>
      <c r="J38" s="2"/>
      <c r="K38" s="4"/>
      <c r="M38" s="2"/>
      <c r="O38" s="25"/>
      <c r="P38"/>
    </row>
    <row r="39" spans="1:17" x14ac:dyDescent="0.3">
      <c r="H39" s="5" t="s">
        <v>45</v>
      </c>
      <c r="I39" s="13">
        <v>191.25</v>
      </c>
    </row>
    <row r="40" spans="1:17" x14ac:dyDescent="0.3">
      <c r="I40" s="12"/>
      <c r="J40" s="2"/>
      <c r="L40" s="3"/>
      <c r="M40" s="2"/>
      <c r="N40" s="4"/>
      <c r="Q40" s="2"/>
    </row>
    <row r="41" spans="1:17" x14ac:dyDescent="0.3">
      <c r="J41" s="2"/>
      <c r="L41" s="3"/>
      <c r="M41" s="2"/>
      <c r="N41" s="4"/>
      <c r="Q41" s="2"/>
    </row>
    <row r="42" spans="1:17" s="11" customFormat="1" ht="29.25" customHeight="1" x14ac:dyDescent="0.3">
      <c r="A42" s="11" t="s">
        <v>46</v>
      </c>
      <c r="B42" s="7" t="s">
        <v>47</v>
      </c>
      <c r="C42" s="7" t="s">
        <v>49</v>
      </c>
      <c r="D42" s="7" t="s">
        <v>34</v>
      </c>
      <c r="E42" s="8" t="s">
        <v>35</v>
      </c>
      <c r="F42" s="8" t="s">
        <v>36</v>
      </c>
      <c r="G42" s="8" t="s">
        <v>37</v>
      </c>
      <c r="H42" s="8" t="s">
        <v>38</v>
      </c>
      <c r="I42" s="8" t="s">
        <v>53</v>
      </c>
      <c r="J42" s="8" t="s">
        <v>39</v>
      </c>
      <c r="K42" s="9" t="s">
        <v>40</v>
      </c>
      <c r="L42" s="22" t="s">
        <v>41</v>
      </c>
      <c r="M42" s="10"/>
      <c r="N42" s="8"/>
      <c r="O42" s="8"/>
      <c r="P42" s="8"/>
    </row>
    <row r="43" spans="1:17" s="17" customFormat="1" ht="21.75" customHeight="1" x14ac:dyDescent="0.3">
      <c r="A43" s="23" t="s">
        <v>13</v>
      </c>
      <c r="B43" s="14" t="s">
        <v>42</v>
      </c>
      <c r="C43" s="14" t="s">
        <v>50</v>
      </c>
      <c r="D43" s="15">
        <v>46094</v>
      </c>
      <c r="E43" s="16" t="s">
        <v>43</v>
      </c>
      <c r="F43" s="17">
        <f>NETWORKDAYS(D43,E43)</f>
        <v>72</v>
      </c>
      <c r="G43" s="18">
        <v>33</v>
      </c>
      <c r="H43" s="19">
        <f>G43/F43</f>
        <v>0.45833333333333331</v>
      </c>
      <c r="I43" s="18">
        <f>AxTable1[[#Totals],[Quantity/Time]]/I39</f>
        <v>0.87058823529411766</v>
      </c>
      <c r="J43" s="16" t="s">
        <v>44</v>
      </c>
      <c r="K43" s="6" t="str">
        <f ca="1">IF((TODAY()-J43)&gt;0,"LATE","EARLY")</f>
        <v>LATE</v>
      </c>
      <c r="L43" s="21">
        <f ca="1">NETWORKDAYS(J43,TODAY())</f>
        <v>39</v>
      </c>
      <c r="M43" s="20"/>
      <c r="N43" s="16"/>
      <c r="O43" s="16"/>
      <c r="P43" s="16"/>
    </row>
    <row r="44" spans="1:17" x14ac:dyDescent="0.3">
      <c r="J44" s="2"/>
      <c r="L44" s="3"/>
      <c r="M44" s="2"/>
      <c r="N44" s="4"/>
      <c r="Q44" s="2"/>
    </row>
    <row r="45" spans="1:17" x14ac:dyDescent="0.3">
      <c r="J45" s="2"/>
      <c r="L45" s="3"/>
      <c r="M45" s="2"/>
      <c r="N45" s="4"/>
      <c r="Q45" s="2"/>
    </row>
  </sheetData>
  <conditionalFormatting sqref="I43">
    <cfRule type="colorScale" priority="2">
      <colorScale>
        <cfvo type="min"/>
        <cfvo type="num" val="1"/>
        <cfvo type="max"/>
        <color theme="9"/>
        <color rgb="FFFFEB84"/>
        <color rgb="FFFF0000"/>
      </colorScale>
    </cfRule>
  </conditionalFormatting>
  <conditionalFormatting sqref="K43">
    <cfRule type="expression" dxfId="4" priority="3">
      <formula>$L$43&gt;0</formula>
    </cfRule>
  </conditionalFormatting>
  <pageMargins left="0.7" right="0.7" top="0.75" bottom="0.75" header="0.3" footer="0.3"/>
  <pageSetup orientation="portrait" horizontalDpi="0" verticalDpi="0"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70FA6-2F30-4F53-88F2-E9BD1679D280}">
  <dimension ref="A1:A30"/>
  <sheetViews>
    <sheetView workbookViewId="0">
      <selection activeCell="E23" sqref="E23"/>
    </sheetView>
  </sheetViews>
  <sheetFormatPr defaultRowHeight="14.4" x14ac:dyDescent="0.3"/>
  <sheetData>
    <row r="1" spans="1:1" x14ac:dyDescent="0.3">
      <c r="A1" s="24">
        <v>46094</v>
      </c>
    </row>
    <row r="2" spans="1:1" x14ac:dyDescent="0.3">
      <c r="A2" s="24">
        <v>46097</v>
      </c>
    </row>
    <row r="3" spans="1:1" x14ac:dyDescent="0.3">
      <c r="A3" s="24">
        <v>46098</v>
      </c>
    </row>
    <row r="4" spans="1:1" x14ac:dyDescent="0.3">
      <c r="A4" s="24">
        <v>46099</v>
      </c>
    </row>
    <row r="5" spans="1:1" x14ac:dyDescent="0.3">
      <c r="A5" s="24">
        <v>46100</v>
      </c>
    </row>
    <row r="6" spans="1:1" x14ac:dyDescent="0.3">
      <c r="A6" s="24">
        <v>46101</v>
      </c>
    </row>
    <row r="7" spans="1:1" x14ac:dyDescent="0.3">
      <c r="A7" s="24">
        <v>46104</v>
      </c>
    </row>
    <row r="8" spans="1:1" x14ac:dyDescent="0.3">
      <c r="A8" s="24">
        <v>46105</v>
      </c>
    </row>
    <row r="9" spans="1:1" x14ac:dyDescent="0.3">
      <c r="A9" s="24">
        <v>46106</v>
      </c>
    </row>
    <row r="10" spans="1:1" x14ac:dyDescent="0.3">
      <c r="A10" s="24">
        <v>46107</v>
      </c>
    </row>
    <row r="11" spans="1:1" x14ac:dyDescent="0.3">
      <c r="A11" s="24">
        <v>46120</v>
      </c>
    </row>
    <row r="12" spans="1:1" x14ac:dyDescent="0.3">
      <c r="A12" s="24">
        <v>46121</v>
      </c>
    </row>
    <row r="13" spans="1:1" x14ac:dyDescent="0.3">
      <c r="A13" s="24">
        <v>46125</v>
      </c>
    </row>
    <row r="14" spans="1:1" x14ac:dyDescent="0.3">
      <c r="A14" s="24">
        <v>46126</v>
      </c>
    </row>
    <row r="15" spans="1:1" x14ac:dyDescent="0.3">
      <c r="A15" s="24">
        <v>46146</v>
      </c>
    </row>
    <row r="16" spans="1:1" x14ac:dyDescent="0.3">
      <c r="A16" s="24">
        <v>46153</v>
      </c>
    </row>
    <row r="17" spans="1:1" x14ac:dyDescent="0.3">
      <c r="A17" s="24">
        <v>46154</v>
      </c>
    </row>
    <row r="18" spans="1:1" x14ac:dyDescent="0.3">
      <c r="A18" s="24">
        <v>46155</v>
      </c>
    </row>
    <row r="19" spans="1:1" x14ac:dyDescent="0.3">
      <c r="A19" s="24">
        <v>46156</v>
      </c>
    </row>
    <row r="20" spans="1:1" x14ac:dyDescent="0.3">
      <c r="A20" s="24">
        <v>46157</v>
      </c>
    </row>
    <row r="21" spans="1:1" x14ac:dyDescent="0.3">
      <c r="A21" s="24">
        <v>46160</v>
      </c>
    </row>
    <row r="22" spans="1:1" x14ac:dyDescent="0.3">
      <c r="A22" s="24">
        <v>46162</v>
      </c>
    </row>
    <row r="23" spans="1:1" x14ac:dyDescent="0.3">
      <c r="A23" s="24">
        <v>46163</v>
      </c>
    </row>
    <row r="24" spans="1:1" x14ac:dyDescent="0.3">
      <c r="A24" s="24">
        <v>46164</v>
      </c>
    </row>
    <row r="25" spans="1:1" x14ac:dyDescent="0.3">
      <c r="A25" s="24">
        <v>46168</v>
      </c>
    </row>
    <row r="26" spans="1:1" x14ac:dyDescent="0.3">
      <c r="A26" s="24">
        <v>46183</v>
      </c>
    </row>
    <row r="27" spans="1:1" x14ac:dyDescent="0.3">
      <c r="A27" s="24">
        <v>46184</v>
      </c>
    </row>
    <row r="28" spans="1:1" x14ac:dyDescent="0.3">
      <c r="A28" s="24">
        <v>46190</v>
      </c>
    </row>
    <row r="29" spans="1:1" x14ac:dyDescent="0.3">
      <c r="A29" s="24">
        <v>46192</v>
      </c>
    </row>
    <row r="30" spans="1:1" x14ac:dyDescent="0.3">
      <c r="A30" s="24">
        <v>46195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Sanjay K Pathak</dc:creator>
  <cp:lastModifiedBy>Sanjay K Pathak</cp:lastModifiedBy>
  <dcterms:created xsi:type="dcterms:W3CDTF">2026-06-30T10:19:24Z</dcterms:created>
  <dcterms:modified xsi:type="dcterms:W3CDTF">2026-06-30T10:22:20Z</dcterms:modified>
</cp:coreProperties>
</file>